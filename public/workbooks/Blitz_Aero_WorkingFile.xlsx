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Here" sheetId="1" state="visible" r:id="rId3"/>
    <sheet name="FromMaster" sheetId="2" state="visible" r:id="rId4"/>
    <sheet name="Calculations" sheetId="3" state="visible" r:id="rId5"/>
    <sheet name="ToMa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Paste the Master Google Sheet's share link here once. Every live pull on this tab uses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Height of the car's centre of gravity above the ground, mm. Higher = more weight shifts under braking/cornering.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Downforce coefficient x frontal area (ClA), m^2. Bigger = more downforce. From CFD or wind tunnel.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16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Drag coefficient x area (CdA), m^2. Bigger = more drag (slows top speed).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16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Mass of air per cubic metre, ~1.18 kg/m^3 at sea level. Used in every aero force.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16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Downforce-to-drag ratio. Higher means you get grip without paying much in drag.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16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Share of total downforce acting on the front axle. Must match the mechanical balance or the car won't be neutral.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16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Downforce coefficient x frontal area (ClA), m^2. Bigger = more downforce. From CFD or wind tunnel.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Drag coefficient x area (CdA), m^2. Bigger = more drag (slows top speed).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16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Mass of air per cubic metre, ~1.18 kg/m^3 at sea level. Used in every aero force.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39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Downforce coefficient x frontal area (ClA), m^2. Bigger = more downforce. From CFD or wind tunnel.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Drag coefficient x area (CdA), m^2. Bigger = more drag (slows top speed).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Share of total downforce acting on the front axle. Must match the mechanical balance or the car won't be neutral.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<sst xmlns="http://schemas.openxmlformats.org/spreadsheetml/2006/main" count="71" uniqueCount="59">
  <si>
    <t xml:space="preserve">AERO  —  TEAM WORKING FILE</t>
  </si>
  <si>
    <t xml:space="preserve">Pulls shared numbers from the MIST Blitz Master; do your team’s calculations here; push key results back.</t>
  </si>
  <si>
    <t xml:space="preserve">HOW TO USE THIS FILE</t>
  </si>
  <si>
    <t xml:space="preserve">1.  Put the Master workbook and this file in the team Google Drive. Open both with Google Sheets.</t>
  </si>
  <si>
    <t xml:space="preserve">2.  On the FromMaster tab, paste the Master’s share URL into cell B1, then follow the one-line instruction to go live (or just use the manual starter values).</t>
  </si>
  <si>
    <t xml:space="preserve">3.  Do your work on the Calculations tab — it already pulls the shared inputs and has starter formulas.</t>
  </si>
  <si>
    <t xml:space="preserve">4.  When you produce a result the rest of the team needs, put it on the ToMaster tab and update the Master’s hand-off sheet.</t>
  </si>
  <si>
    <t xml:space="preserve">GOOGLE SHEETS LIVE LINK (IMPORTRANGE)</t>
  </si>
  <si>
    <t xml:space="preserve">To pull a value live from the Master: in a cell type  =IMPORTRANGE($FromMaster.$B$1, "Master!C8")  — the exact Master cell is listed on the FromMaster tab. The first time, click the cell and press ‘Allow access’ (one-time, no add-on needed).</t>
  </si>
  <si>
    <t xml:space="preserve">Manual fallback: the FromMaster tab is pre-filled with the current values so your calculations work even before you link. Replace them with the live formula when ready.</t>
  </si>
  <si>
    <t xml:space="preserve">COLOUR LEGEND</t>
  </si>
  <si>
    <t xml:space="preserve">blue on yellow</t>
  </si>
  <si>
    <t xml:space="preserve">Typed INPUT — edit this.</t>
  </si>
  <si>
    <t xml:space="preserve">green</t>
  </si>
  <si>
    <t xml:space="preserve">LINK / pulled value — do not type over.</t>
  </si>
  <si>
    <t xml:space="preserve">black</t>
  </si>
  <si>
    <t xml:space="preserve">Computed by formula — do not type over.</t>
  </si>
  <si>
    <t xml:space="preserve">FROM MASTER  —  shared inputs</t>
  </si>
  <si>
    <t xml:space="preserve">Paste the Master URL in B1. Column B holds current values so your calcs work now; to go live put =IMPORTRANGE($B$1, D5) in B5 and drag down.</t>
  </si>
  <si>
    <t xml:space="preserve">Master URL:</t>
  </si>
  <si>
    <t xml:space="preserve">paste the Master Google Sheets share URL here</t>
  </si>
  <si>
    <t xml:space="preserve">Parameter</t>
  </si>
  <si>
    <t xml:space="preserve">Value (manual or live)</t>
  </si>
  <si>
    <t xml:space="preserve">Unit</t>
  </si>
  <si>
    <t xml:space="preserve">Master cell (for IMPORTRANGE)</t>
  </si>
  <si>
    <t xml:space="preserve">Ride height</t>
  </si>
  <si>
    <t xml:space="preserve">mm</t>
  </si>
  <si>
    <t xml:space="preserve">Master!C18</t>
  </si>
  <si>
    <t xml:space="preserve">CoG height</t>
  </si>
  <si>
    <t xml:space="preserve">Master!C11</t>
  </si>
  <si>
    <t xml:space="preserve">Total mass (with driver)</t>
  </si>
  <si>
    <t xml:space="preserve">kg</t>
  </si>
  <si>
    <t xml:space="preserve">Master!C9</t>
  </si>
  <si>
    <t xml:space="preserve">Target lateral accel</t>
  </si>
  <si>
    <t xml:space="preserve">g</t>
  </si>
  <si>
    <t xml:space="preserve">Master!C25</t>
  </si>
  <si>
    <t xml:space="preserve">AERO — CALCULATIONS</t>
  </si>
  <si>
    <t xml:space="preserve">Starter calculations. Blue cells are inputs; green pull from FromMaster; black are computed.</t>
  </si>
  <si>
    <t xml:space="preserve">Speed (km/h)</t>
  </si>
  <si>
    <t xml:space="preserve">Downforce (N)</t>
  </si>
  <si>
    <t xml:space="preserve">Drag (N)</t>
  </si>
  <si>
    <t xml:space="preserve">Downforce % of weight</t>
  </si>
  <si>
    <t xml:space="preserve">Inputs ↓</t>
  </si>
  <si>
    <t xml:space="preserve">Cl·A</t>
  </si>
  <si>
    <t xml:space="preserve">m²</t>
  </si>
  <si>
    <t xml:space="preserve">Cd·A</t>
  </si>
  <si>
    <t xml:space="preserve">Air density ρ</t>
  </si>
  <si>
    <t xml:space="preserve">kg/m³</t>
  </si>
  <si>
    <t xml:space="preserve">% of weight</t>
  </si>
  <si>
    <t xml:space="preserve">L/D (ClA/CdA)</t>
  </si>
  <si>
    <t xml:space="preserve">Aero balance (front %)</t>
  </si>
  <si>
    <t xml:space="preserve">TO MASTER  —  what you give back</t>
  </si>
  <si>
    <t xml:space="preserve">Fill your results, then copy them into the named cells on the Master’s hand-off sheet (or the team owner does).</t>
  </si>
  <si>
    <t xml:space="preserve">Your result</t>
  </si>
  <si>
    <t xml:space="preserve">Value</t>
  </si>
  <si>
    <t xml:space="preserve">Where it goes on the Master</t>
  </si>
  <si>
    <t xml:space="preserve">Master → Aero tab</t>
  </si>
  <si>
    <t xml:space="preserve">Aero balance (front)</t>
  </si>
  <si>
    <t xml:space="preserve">-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</si>
</sst>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1121F"/>
        <bgColor rgb="FFFF0000"/>
      </patternFill>
    </fill>
    <fill>
      <patternFill patternType="solid">
        <fgColor rgb="FF232326"/>
        <bgColor rgb="FF333300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1121F"/>
      <rgbColor rgb="FF993366"/>
      <rgbColor rgb="FF333399"/>
      <rgbColor rgb="FF2323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6" min="3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6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7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27.75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27.75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27.75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16.5" hidden="false" customHeight="true" outlineLevel="0" collapsed="false">
      <c r="A9" s="3" t="s">
        <v>7</v>
      </c>
      <c r="B9" s="3"/>
      <c r="C9" s="3"/>
      <c r="D9" s="3"/>
      <c r="E9" s="3"/>
      <c r="F9" s="3"/>
    </row>
    <row r="10" customFormat="false" ht="42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27.75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2" customFormat="false" ht="16.5" hidden="false" customHeight="true" outlineLevel="0" collapsed="false">
      <c r="A12" s="3" t="s">
        <v>10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5" t="s">
        <v>11</v>
      </c>
      <c r="B13" s="6" t="s">
        <v>12</v>
      </c>
      <c r="C13" s="6"/>
      <c r="D13" s="6"/>
      <c r="E13" s="6"/>
      <c r="F13" s="6"/>
    </row>
    <row r="14" customFormat="false" ht="15" hidden="false" customHeight="false" outlineLevel="0" collapsed="false">
      <c r="A14" s="7" t="s">
        <v>13</v>
      </c>
      <c r="B14" s="6" t="s">
        <v>14</v>
      </c>
      <c r="C14" s="6"/>
      <c r="D14" s="6"/>
      <c r="E14" s="6"/>
      <c r="F14" s="6"/>
    </row>
    <row r="15" customFormat="false" ht="15" hidden="false" customHeight="false" outlineLevel="0" collapsed="false">
      <c r="A15" s="8" t="s">
        <v>15</v>
      </c>
      <c r="B15" s="6" t="s">
        <v>16</v>
      </c>
      <c r="C15" s="6"/>
      <c r="D15" s="6"/>
      <c r="E15" s="6"/>
      <c r="F15" s="6"/>
    </row>
  </sheetData>
  <mergeCells count="14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B13:F13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17</v>
      </c>
      <c r="B1" s="1"/>
      <c r="C1" s="1"/>
      <c r="D1" s="1"/>
    </row>
    <row r="2" customFormat="false" ht="15" hidden="false" customHeight="false" outlineLevel="0" collapsed="false">
      <c r="A2" s="2" t="s">
        <v>18</v>
      </c>
      <c r="B2" s="2"/>
      <c r="C2" s="2"/>
      <c r="D2" s="2"/>
    </row>
    <row r="3" customFormat="false" ht="15" hidden="false" customHeight="false" outlineLevel="0" collapsed="false">
      <c r="A3" s="8" t="s">
        <v>19</v>
      </c>
      <c r="B3" s="9" t="s">
        <v>20</v>
      </c>
      <c r="C3" s="9"/>
      <c r="D3" s="9"/>
    </row>
    <row r="5" customFormat="false" ht="25.5" hidden="false" customHeight="true" outlineLevel="0" collapsed="false">
      <c r="A5" s="10" t="s">
        <v>21</v>
      </c>
      <c r="B5" s="10" t="s">
        <v>22</v>
      </c>
      <c r="C5" s="10" t="s">
        <v>23</v>
      </c>
      <c r="D5" s="10" t="s">
        <v>24</v>
      </c>
    </row>
    <row r="6" customFormat="false" ht="15" hidden="false" customHeight="false" outlineLevel="0" collapsed="false">
      <c r="A6" s="11" t="s">
        <v>25</v>
      </c>
      <c r="B6" s="12" t="n">
        <v>40</v>
      </c>
      <c r="C6" s="11" t="s">
        <v>26</v>
      </c>
      <c r="D6" s="13" t="s">
        <v>27</v>
      </c>
    </row>
    <row r="7" customFormat="false" ht="15" hidden="false" customHeight="false" outlineLevel="0" collapsed="false">
      <c r="A7" s="11" t="s">
        <v>28</v>
      </c>
      <c r="B7" s="12" t="n">
        <v>263.409090909091</v>
      </c>
      <c r="C7" s="11" t="s">
        <v>26</v>
      </c>
      <c r="D7" s="13" t="s">
        <v>29</v>
      </c>
    </row>
    <row r="8" customFormat="false" ht="15" hidden="false" customHeight="false" outlineLevel="0" collapsed="false">
      <c r="A8" s="11" t="s">
        <v>30</v>
      </c>
      <c r="B8" s="14" t="n">
        <v>264</v>
      </c>
      <c r="C8" s="11" t="s">
        <v>31</v>
      </c>
      <c r="D8" s="13" t="s">
        <v>32</v>
      </c>
    </row>
    <row r="9" customFormat="false" ht="15" hidden="false" customHeight="false" outlineLevel="0" collapsed="false">
      <c r="A9" s="11" t="s">
        <v>33</v>
      </c>
      <c r="B9" s="15" t="n">
        <v>1.5</v>
      </c>
      <c r="C9" s="11" t="s">
        <v>34</v>
      </c>
      <c r="D9" s="13" t="s">
        <v>35</v>
      </c>
    </row>
  </sheetData>
  <mergeCells count="3">
    <mergeCell ref="A1:D1"/>
    <mergeCell ref="A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24" hidden="false" customHeight="true" outlineLevel="0" collapsed="false">
      <c r="A1" s="1" t="s">
        <v>36</v>
      </c>
      <c r="B1" s="1"/>
      <c r="C1" s="1"/>
      <c r="D1" s="1"/>
    </row>
    <row r="2" customFormat="false" ht="15" hidden="false" customHeight="false" outlineLevel="0" collapsed="false">
      <c r="A2" s="2" t="s">
        <v>37</v>
      </c>
      <c r="B2" s="2"/>
      <c r="C2" s="2"/>
      <c r="D2" s="2"/>
    </row>
    <row r="4" customFormat="false" ht="25.5" hidden="false" customHeight="true" outlineLevel="0" collapsed="false">
      <c r="A4" s="10" t="s">
        <v>38</v>
      </c>
      <c r="B4" s="10" t="s">
        <v>39</v>
      </c>
      <c r="C4" s="10" t="s">
        <v>40</v>
      </c>
      <c r="D4" s="10" t="s">
        <v>41</v>
      </c>
    </row>
    <row r="5" customFormat="false" ht="15" hidden="false" customHeight="false" outlineLevel="0" collapsed="false">
      <c r="A5" s="11" t="s">
        <v>42</v>
      </c>
    </row>
    <row r="6" customFormat="false" ht="15" hidden="false" customHeight="false" outlineLevel="0" collapsed="false">
      <c r="A6" s="11" t="s">
        <v>43</v>
      </c>
      <c r="B6" s="15" t="n">
        <v>0.8</v>
      </c>
      <c r="C6" s="11" t="s">
        <v>44</v>
      </c>
    </row>
    <row r="7" customFormat="false" ht="15" hidden="false" customHeight="false" outlineLevel="0" collapsed="false">
      <c r="A7" s="11" t="s">
        <v>45</v>
      </c>
      <c r="B7" s="15" t="n">
        <v>0.6</v>
      </c>
      <c r="C7" s="11" t="s">
        <v>44</v>
      </c>
    </row>
    <row r="8" customFormat="false" ht="15" hidden="false" customHeight="false" outlineLevel="0" collapsed="false">
      <c r="A8" s="11" t="s">
        <v>46</v>
      </c>
      <c r="B8" s="15" t="n">
        <v>1.18</v>
      </c>
      <c r="C8" s="11" t="s">
        <v>47</v>
      </c>
    </row>
    <row r="10" customFormat="false" ht="25.5" hidden="false" customHeight="true" outlineLevel="0" collapsed="false">
      <c r="A10" s="10" t="s">
        <v>38</v>
      </c>
      <c r="B10" s="10" t="s">
        <v>39</v>
      </c>
      <c r="C10" s="10" t="s">
        <v>40</v>
      </c>
      <c r="D10" s="10" t="s">
        <v>48</v>
      </c>
    </row>
    <row r="11" customFormat="false" ht="15" hidden="false" customHeight="false" outlineLevel="0" collapsed="false">
      <c r="A11" s="12" t="n">
        <v>40</v>
      </c>
      <c r="B11" s="16" t="n">
        <f aca="false">0.5*B8*(A11/3.6)^2*B6</f>
        <v>58.2716049382716</v>
      </c>
      <c r="C11" s="16" t="n">
        <f aca="false">0.5*B8*(A11/3.6)^2*B7</f>
        <v>43.7037037037037</v>
      </c>
      <c r="D11" s="17" t="n">
        <f aca="false">B11/(FromMaster!B8*9.81)</f>
        <v>0.0225000791316342</v>
      </c>
    </row>
    <row r="12" customFormat="false" ht="15" hidden="false" customHeight="false" outlineLevel="0" collapsed="false">
      <c r="A12" s="12" t="n">
        <v>60</v>
      </c>
      <c r="B12" s="16" t="n">
        <f aca="false">0.5*B8*(A12/3.6)^2*B6</f>
        <v>131.111111111111</v>
      </c>
      <c r="C12" s="16" t="n">
        <f aca="false">0.5*B8*(A12/3.6)^2*B7</f>
        <v>98.3333333333333</v>
      </c>
      <c r="D12" s="17" t="n">
        <f aca="false">B12/(FromMaster!B8*9.81)</f>
        <v>0.050625178046177</v>
      </c>
    </row>
    <row r="13" customFormat="false" ht="15" hidden="false" customHeight="false" outlineLevel="0" collapsed="false">
      <c r="A13" s="12" t="n">
        <v>80</v>
      </c>
      <c r="B13" s="16" t="n">
        <f aca="false">0.5*B8*(A13/3.6)^2*B6</f>
        <v>233.086419753086</v>
      </c>
      <c r="C13" s="16" t="n">
        <f aca="false">0.5*B8*(A13/3.6)^2*B7</f>
        <v>174.814814814815</v>
      </c>
      <c r="D13" s="17" t="n">
        <f aca="false">B13/(FromMaster!B8*9.81)</f>
        <v>0.0900003165265369</v>
      </c>
    </row>
    <row r="14" customFormat="false" ht="15" hidden="false" customHeight="false" outlineLevel="0" collapsed="false">
      <c r="A14" s="12" t="n">
        <v>100</v>
      </c>
      <c r="B14" s="16" t="n">
        <f aca="false">0.5*B8*(A14/3.6)^2*B6</f>
        <v>364.197530864198</v>
      </c>
      <c r="C14" s="16" t="n">
        <f aca="false">0.5*B8*(A14/3.6)^2*B7</f>
        <v>273.148148148148</v>
      </c>
      <c r="D14" s="17" t="n">
        <f aca="false">B14/(FromMaster!B8*9.81)</f>
        <v>0.140625494572714</v>
      </c>
    </row>
    <row r="15" customFormat="false" ht="15" hidden="false" customHeight="false" outlineLevel="0" collapsed="false">
      <c r="A15" s="12" t="n">
        <v>120</v>
      </c>
      <c r="B15" s="16" t="n">
        <f aca="false">0.5*B8*(A15/3.6)^2*B6</f>
        <v>524.444444444445</v>
      </c>
      <c r="C15" s="16" t="n">
        <f aca="false">0.5*B8*(A15/3.6)^2*B7</f>
        <v>393.333333333333</v>
      </c>
      <c r="D15" s="17" t="n">
        <f aca="false">B15/(FromMaster!B8*9.81)</f>
        <v>0.202500712184708</v>
      </c>
    </row>
    <row r="17" customFormat="false" ht="15" hidden="false" customHeight="false" outlineLevel="0" collapsed="false">
      <c r="A17" s="11" t="s">
        <v>49</v>
      </c>
      <c r="B17" s="18" t="n">
        <f aca="false">B6/B7</f>
        <v>1.33333333333333</v>
      </c>
    </row>
    <row r="18" customFormat="false" ht="15" hidden="false" customHeight="false" outlineLevel="0" collapsed="false">
      <c r="A18" s="11" t="s">
        <v>50</v>
      </c>
      <c r="B18" s="19" t="n">
        <v>0.45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" t="s">
        <v>51</v>
      </c>
      <c r="B1" s="1"/>
      <c r="C1" s="1"/>
      <c r="D1" s="1"/>
    </row>
    <row r="2" customFormat="false" ht="15" hidden="false" customHeight="false" outlineLevel="0" collapsed="false">
      <c r="A2" s="2" t="s">
        <v>52</v>
      </c>
      <c r="B2" s="2"/>
      <c r="C2" s="2"/>
      <c r="D2" s="2"/>
    </row>
    <row r="4" customFormat="false" ht="25.5" hidden="false" customHeight="true" outlineLevel="0" collapsed="false">
      <c r="A4" s="10" t="s">
        <v>53</v>
      </c>
      <c r="B4" s="10" t="s">
        <v>54</v>
      </c>
      <c r="C4" s="10" t="s">
        <v>23</v>
      </c>
      <c r="D4" s="10" t="s">
        <v>55</v>
      </c>
    </row>
    <row r="5" customFormat="false" ht="15" hidden="false" customHeight="false" outlineLevel="0" collapsed="false">
      <c r="A5" s="11" t="s">
        <v>43</v>
      </c>
      <c r="B5" s="15"/>
      <c r="C5" s="11" t="s">
        <v>44</v>
      </c>
      <c r="D5" s="20" t="s">
        <v>56</v>
      </c>
    </row>
    <row r="6" customFormat="false" ht="15" hidden="false" customHeight="false" outlineLevel="0" collapsed="false">
      <c r="A6" s="11" t="s">
        <v>45</v>
      </c>
      <c r="B6" s="15"/>
      <c r="C6" s="11" t="s">
        <v>44</v>
      </c>
      <c r="D6" s="20" t="s">
        <v>56</v>
      </c>
    </row>
    <row r="7" customFormat="false" ht="15" hidden="false" customHeight="false" outlineLevel="0" collapsed="false">
      <c r="A7" s="11" t="s">
        <v>57</v>
      </c>
      <c r="B7" s="15"/>
      <c r="C7" s="11" t="s">
        <v>58</v>
      </c>
      <c r="D7" s="20" t="s">
        <v>56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2026-10-08T15:11:19Z</dcterms:created>
  <dc:creator>openpyxl</dc:creator>
  <dc:description/>
  <dc:language>en-US</dc:language>
  <cp:lastModifiedBy/>
  <dcterms:modified xsi:type="dcterms:W3CDTF">2026-10-08T15:11:20Z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