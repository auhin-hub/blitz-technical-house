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Here" sheetId="1" state="visible" r:id="rId3"/>
    <sheet name="FromMaster" sheetId="2" state="visible" r:id="rId4"/>
    <sheet name="Setup" sheetId="3" state="visible" r:id="rId5"/>
    <sheet name="Brakes" sheetId="4" state="visible" r:id="rId6"/>
    <sheet name="SuspensionGeom" sheetId="5" state="visible" r:id="rId7"/>
    <sheet name="SpringsDampers" sheetId="6" state="visible" r:id="rId8"/>
    <sheet name="SuspensionLoads" sheetId="7" state="visible" r:id="rId9"/>
    <sheet name="Steering" sheetId="8" state="visible" r:id="rId10"/>
    <sheet name="ToMast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Paste the Master Google Sheet's share link here once. Every live pull on this tab uses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How far the spring moves for each mm the wheel moves (spring travel / wheel travel). Usually &lt; 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How far the spring moves for each mm the wheel moves (spring travel / wheel travel). Usually &lt; 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9</xdr:rowOff>
              </xdr:from>
              <xdr:to>
                <xdr:col>2</xdr:col>
                <xdr:colOff>53</xdr:colOff>
                <xdr:row>8</xdr:row>
                <xdr:rowOff>1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9</xdr:rowOff>
              </xdr:from>
              <xdr:to>
                <xdr:col>2</xdr:col>
                <xdr:colOff>53</xdr:colOff>
                <xdr:row>8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How hard the driver stamps the pedal, in newtons. ~400 N is a firm panic stop.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Lever advantage of the pedal: pivot-to-pad distance / pivot-to-pushrod distance. Multiplies foot force. Typical 4-6.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Internal diameter of the master cylinder piston, mm. Smaller bore = more pressure but more pedal travel.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1 if this master cylinder feeds one axle, 2 if it splits between two circuits. Divides the pressure.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Force leaving the pedal into the master cylinder = pedal force x pedal ratio.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Piston area = pi x diameter^2 / 4. Pressure = force / area, so this sets how much line pressure you get.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Hydraulic pressure in the brake line = pushrod force / (MC area x circuits). Pascals.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Same pressure shown in kPa (1 kPa = 1000 Pa) so it's easier to read.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Diameter of ONE caliper piston, mm. Bigger piston = more clamp force for the same pressure.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How many pistons push the pad on ONE side of the disc (a 4-pot opposed caliper has 2 per side).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How grippy the pad-to-disc contact is (mu). Race pads ~0.4-0.5. Input from the pad data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Outer diameter of the brake disc, mm. Larger disc = more leverage = more torque.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How far the pad reaches in from the disc edge toward the centre, mm. Sets the braking band.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Area of one caliper piston = pi x d^2 / 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Force squeezing the pad onto the disc = pressure x piston area x pistons per side.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Drag force the pads make = clamp force x 2 pad faces x pad mu. This is what slows the disc.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The average radius where the pad friction acts. Using the ring formula, not just the mid-radius. Metres.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Twisting force resisting the wheel = friction force x effective radius. This is your design target torque.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Share of total braking done by the FRONT wheels, from your hardware = front torque / (front+rear torque).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Fraction of the car's weight on the front axle when standing still. Pulled from the Master.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Ideal front brake share so front and rear lock together: static front fraction + mu x (CoG height / wheelbase). Aim your achieved bias at this.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A braking rate to test, in g (1 g = losing 9.81 m/s of speed each second).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How hard the driver stamps the pedal, in newtons. ~400 N is a firm panic stop.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Lever advantage of the pedal: pivot-to-pad distance / pivot-to-pushrod distance. Multiplies foot force. Typical 4-6.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Internal diameter of the master cylinder piston, mm. Smaller bore = more pressure but more pedal travel.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1 if this master cylinder feeds one axle, 2 if it splits between two circuits. Divides the pressure.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Force leaving the pedal into the master cylinder = pedal force x pedal ratio.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Piston area = pi x diameter^2 / 4. Pressure = force / area, so this sets how much line pressure you get.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Hydraulic pressure in the brake line = pushrod force / (MC area x circuits). Pascals.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Same pressure shown in kPa (1 kPa = 1000 Pa) so it's easier to read.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Diameter of ONE caliper piston, mm. Bigger piston = more clamp force for the same pressure.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How many pistons push the pad on ONE side of the disc (a 4-pot opposed caliper has 2 per side).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How grippy the pad-to-disc contact is (mu). Race pads ~0.4-0.5. Input from the pad data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Outer diameter of the brake disc, mm. Larger disc = more leverage = more torque.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How far the pad reaches in from the disc edge toward the centre, mm. Sets the braking band.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Area of one caliper piston = pi x d^2 / 4.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Force squeezing the pad onto the disc = pressure x piston area x pistons per side.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Drag force the pads make = clamp force x 2 pad faces x pad mu. This is what slows the disc.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The average radius where the pad friction acts. Using the ring formula, not just the mid-radius. Metres.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Twisting force resisting the wheel = friction force x effective radius. This is your design target torque.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A braking rate to test, in g (1 g = losing 9.81 m/s of speed each second).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Height of the point the body rolls about, mm. Low and stable is usually wanted.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Distance from the wheel to the suspension's instant centre (seen from the front), mm. Longer = less camber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Side distance at the ground between the steering axis and the tyre centre, mm. Affects steering feel.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Lean of the steering axis seen from the front (KPI), degrees. Helps self-centre the steering.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Backward lean of the steering axis seen from the side, degrees. Adds straight-line stability and camber in a turn.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How far behind the steering axis the contact patch sits, mm. Gives steering feel and self-centring.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Height of the lower wishbone's outer pivot at the upright,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Height of the upper wishbone's outer pivot at the upright,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Length of the lower wishbone,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Length of the upper wishbone, mm. Usually shorter than the lower to control camber in roll.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Height of the point the body rolls about, mm. Low and stable is usually wanted.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Distance from the wheel to the suspension's instant centre (seen from the front), mm. Longer = less camber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Side distance at the ground between the steering axis and the tyre centre, mm. Affects steering feel.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Lean of the steering axis seen from the front (KPI), degrees. Helps self-centre the steering.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Backward lean of the steering axis seen from the side, degrees. Adds straight-line stability and camber in a turn.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How far behind the steering axis the contact patch sits, mm. Gives steering feel and self-centring.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Height of the lower wishbone's outer pivot at the upright,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Height of the upper wishbone's outer pivot at the upright,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Length of the lower wishbone,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Length of the upper wishbone, mm. Usually shorter than the lower to control camber in roll.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How far the spring moves for each mm the wheel moves (spring travel / wheel travel). Usually &lt; 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Mass NOT held up by the spring (wheel, tyre, upright, brake), per corner.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How bouncy the car is, in Hz. Higher = stiffer/raceier. FS cars ~2.5-3.5 Hz. Rear usually a touch higher.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Mass the spring actually carries at this corner = axle mass / 2 - unsprung corner mass.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Stiffness felt AT THE WHEEL to hit your ride frequency = (2 x pi x f)^2 x sprung corner mass.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Stiffness of the actual spring = wheel rate / motion ratio^2. Order the nearest available spring.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The ride frequency your CHOSEN spring actually produces. Compare to your target above.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How far the wheel moves UP into the car before it runs out. mm.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How far the wheel can drop DOWN before the suspension tops out. mm.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How far the spring itself moves = wheel travel x motion ratio. Check it fits the damper stroke.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How much the damper calms the bounce (zeta). 1.0 = no overshoot; race cars run ~0.6-0.7.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The damping that would stop all bounce with no overshoot = 2 x sqrt(stiffness x mass). Reference value.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Damper strength you want at the wheel = damping ratio x critical damping.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How far the spring moves for each mm the wheel moves (spring travel / wheel travel). Usually &lt; 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Mass NOT held up by the spring (wheel, tyre, upright, brake), per corner.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How bouncy the car is, in Hz. Higher = stiffer/raceier. FS cars ~2.5-3.5 Hz. Rear usually a touch higher.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Mass the spring actually carries at this corner = axle mass / 2 - unsprung corner mass.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Stiffness felt AT THE WHEEL to hit your ride frequency = (2 x pi x f)^2 x sprung corner mass.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Stiffness of the actual spring = wheel rate / motion ratio^2. Order the nearest available spring.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The ride frequency your CHOSEN spring actually produces. Compare to your target above.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How far the wheel moves UP into the car before it runs out. mm.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How far the wheel can drop DOWN before the suspension tops out. mm.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How far the spring itself moves = wheel travel x motion ratio. Check it fits the damper stroke.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How much the damper calms the bounce (zeta). 1.0 = no overshoot; race cars run ~0.6-0.7.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The damping that would stop all bounce with no overshoot = 2 x sqrt(stiffness x mass). Reference value.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Damper strength you want at the wheel = damping ratio x critical damping.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Safety multiplier on static load for bumps/kerbs (DMF). 2-3 is typical for FS.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Extra vertical push from wings at speed, per axle, N. 0 if no aero.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Weight on one corner standing still = total weight x axle share /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Worst-case vertical load for sizing parts = static x DMF + downforce. Use this for FEA / tube sizing.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Load in the pushrod = vertical wheel load / sin(pushrod angle). Steeper rod = lower force.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Angle, seen from the side, of the line from contact patch to the suspension's instant centre. Sets anti-dive/squat.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Share of braking (front) or drive (rear) this axle takes. Scales the anti effect.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How much the geometry resists nose-dive (front) or squat (rear) under braking/accel. 0% = none; 100% = fully resisted.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Safety multiplier on static load for bumps/kerbs (DMF). 2-3 is typical for FS.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Extra vertical push from wings at speed, per axle, N. 0 if no aero.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Weight on one corner standing still = total weight x axle share /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Worst-case vertical load for sizing parts = static x DMF + downforce. Use this for FEA / tube sizing.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Load in the pushrod = vertical wheel load / sin(pushrod angle). Steeper rod = lower force.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Angle, seen from the side, of the line from contact patch to the suspension's instant centre. Sets anti-dive/squat.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Share of braking (front) or drive (rear) this axle takes. Scales the anti effect.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How much the geometry resists nose-dive (front) or squat (rear) under braking/accel. 0% = none; 100% = fully resisted.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Distance between the two steering axes at the ground,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Length of the arm from the upright to the tie-rod, mm. Sets how much the wheel turns per mm of rack.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Tightest circle the car should turn, m. Drives the Ackermann geometry.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Ideal difference between inner and outer wheel steer angle so both roll cleanly through a turn, degrees.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Total side movement of the steering rack from full-left to full-right,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How many turns of the wheel go lock-to-lock. Fewer = faster steering.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Diameter of the pinion gear's pitch circle, mm.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Teeth on the pinion. Module = pitch diameter / teeth.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Gear tooth size = pitch diameter / number of teeth. The master number all other gear dimensions come from.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Distance from one tooth to the next along the pitch circle = pi x module.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Circle the involute tooth is generated from = pitch diameter x cos(20 deg pressure angle).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How far the tooth sticks out beyond the pitch circle = 0.8 x module (stub tooth).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How far the tooth goes in below the pitch circle = 1.0 x module.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Thickness of a tooth at the pitch circle = 1.5708 x module (half the circular pitch).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How far the rack moves for one full turn of the pinion = pi x pitch diameter.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Distance between the two steering axes at the ground,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Length of the arm from the upright to the tie-rod, mm. Sets how much the wheel turns per mm of rack.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Tightest circle the car should turn, m. Drives the Ackermann geometry.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Ideal difference between inner and outer wheel steer angle so both roll cleanly through a turn, degrees.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Total side movement of the steering rack from full-left to full-right,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How many turns of the wheel go lock-to-lock. Fewer = faster steering.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Diameter of the pinion gear's pitch circle, mm.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Teeth on the pinion. Module = pitch diameter / teeth.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Gear tooth size = pitch diameter / number of teeth. The master number all other gear dimensions come from.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Distance from one tooth to the next along the pitch circle = pi x module.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Circle the involute tooth is generated from = pitch diameter x cos(20 deg pressure angle).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How far the tooth sticks out beyond the pitch circle = 0.8 x module (stub tooth).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How far the tooth goes in below the pitch circle = 1.0 x module.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Thickness of a tooth at the pitch circle = 1.5708 x module (half the circular pitch).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How far the rack moves for one full turn of the pinion = pi x pitch diameter.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<sst xmlns="http://schemas.openxmlformats.org/spreadsheetml/2006/main" count="353" uniqueCount="223">
  <si>
    <t xml:space="preserve">VEHICLE DYNAMICS  —  TEAM WORKING FILE</t>
  </si>
  <si>
    <t xml:space="preserve">Pulls shared numbers from the MIST Blitz Master; do your team’s calculations here; push key results back.</t>
  </si>
  <si>
    <t xml:space="preserve">HOW TO USE THIS FILE</t>
  </si>
  <si>
    <t xml:space="preserve">1.  Put the Master workbook and this file in the team Google Drive. Open both with Google Sheets.</t>
  </si>
  <si>
    <t xml:space="preserve">2.  On the FromMaster tab, paste the Master’s share URL into cell B1, then follow the one-line instruction to go live (or just use the manual starter values).</t>
  </si>
  <si>
    <t xml:space="preserve">3.  Do your work on the Calculations tab — it already pulls the shared inputs and has starter formulas.</t>
  </si>
  <si>
    <t xml:space="preserve">4.  When you produce a result the rest of the team needs, put it on the ToMaster tab and update the Master’s hand-off sheet.</t>
  </si>
  <si>
    <t xml:space="preserve">GOOGLE SHEETS LIVE LINK (IMPORTRANGE)</t>
  </si>
  <si>
    <t xml:space="preserve">To pull a value live from the Master: in a cell type  =IMPORTRANGE($FromMaster.$B$1, "Master!C8")  — the exact Master cell is listed on the FromMaster tab. The first time, click the cell and press ‘Allow access’ (one-time, no add-on needed).</t>
  </si>
  <si>
    <t xml:space="preserve">Manual fallback: the FromMaster tab is pre-filled with the current values so your calculations work even before you link. Replace them with the live formula when ready.</t>
  </si>
  <si>
    <t xml:space="preserve">COLOUR LEGEND</t>
  </si>
  <si>
    <t xml:space="preserve">blue on yellow</t>
  </si>
  <si>
    <t xml:space="preserve">Typed INPUT — edit this.</t>
  </si>
  <si>
    <t xml:space="preserve">green</t>
  </si>
  <si>
    <t xml:space="preserve">LINK / pulled value — do not type over.</t>
  </si>
  <si>
    <t xml:space="preserve">black</t>
  </si>
  <si>
    <t xml:space="preserve">Computed by formula — do not type over.</t>
  </si>
  <si>
    <t xml:space="preserve">FROM MASTER  —  shared inputs</t>
  </si>
  <si>
    <t xml:space="preserve">Paste the Master URL in B1. Column B holds current values so your calcs work now; to go live put =IMPORTRANGE($B$1, D5) in B5 and drag down.</t>
  </si>
  <si>
    <t xml:space="preserve">Master URL:</t>
  </si>
  <si>
    <t xml:space="preserve">paste the Master Google Sheets share URL here</t>
  </si>
  <si>
    <t xml:space="preserve">Parameter</t>
  </si>
  <si>
    <t xml:space="preserve">Value (manual or live)</t>
  </si>
  <si>
    <t xml:space="preserve">Unit</t>
  </si>
  <si>
    <t xml:space="preserve">Master cell (for IMPORTRANGE)</t>
  </si>
  <si>
    <t xml:space="preserve">Total mass (with driver)</t>
  </si>
  <si>
    <t xml:space="preserve">kg</t>
  </si>
  <si>
    <t xml:space="preserve">Master!C9</t>
  </si>
  <si>
    <t xml:space="preserve">Front mass fraction</t>
  </si>
  <si>
    <t xml:space="preserve">-</t>
  </si>
  <si>
    <t xml:space="preserve">Master!C10</t>
  </si>
  <si>
    <t xml:space="preserve">CoG height</t>
  </si>
  <si>
    <t xml:space="preserve">mm</t>
  </si>
  <si>
    <t xml:space="preserve">Master!C11</t>
  </si>
  <si>
    <t xml:space="preserve">Wheelbase</t>
  </si>
  <si>
    <t xml:space="preserve">Master!C15</t>
  </si>
  <si>
    <t xml:space="preserve">Front track</t>
  </si>
  <si>
    <t xml:space="preserve">Master!C16</t>
  </si>
  <si>
    <t xml:space="preserve">Rear track</t>
  </si>
  <si>
    <t xml:space="preserve">Master!C17</t>
  </si>
  <si>
    <t xml:space="preserve">Peak lateral μ</t>
  </si>
  <si>
    <t xml:space="preserve">Master!C20</t>
  </si>
  <si>
    <t xml:space="preserve">Cornering stiffness</t>
  </si>
  <si>
    <t xml:space="preserve">N/deg</t>
  </si>
  <si>
    <t xml:space="preserve">Master!C21</t>
  </si>
  <si>
    <t xml:space="preserve">Motion ratio (wheel→spring)</t>
  </si>
  <si>
    <t xml:space="preserve">Master!C31</t>
  </si>
  <si>
    <t xml:space="preserve">VEHICLE DYNAMICS — SETUP</t>
  </si>
  <si>
    <t xml:space="preserve">Starter calculations. Blue cells are inputs; green pull from FromMaster; black are computed.</t>
  </si>
  <si>
    <t xml:space="preserve">Setup target</t>
  </si>
  <si>
    <t xml:space="preserve">Value</t>
  </si>
  <si>
    <t xml:space="preserve">Note</t>
  </si>
  <si>
    <t xml:space="preserve">KINEMATIC TARGETS (Book Two / Three)</t>
  </si>
  <si>
    <t xml:space="preserve">Static camber front</t>
  </si>
  <si>
    <t xml:space="preserve">deg</t>
  </si>
  <si>
    <t xml:space="preserve">more neg = more cornering grip, more straight-line wear</t>
  </si>
  <si>
    <t xml:space="preserve">Static camber rear</t>
  </si>
  <si>
    <t xml:space="preserve">Dynamic camber at max roll</t>
  </si>
  <si>
    <t xml:space="preserve">want tyre near upright at the limit</t>
  </si>
  <si>
    <t xml:space="preserve">Roll-centre height front</t>
  </si>
  <si>
    <t xml:space="preserve">keep low &amp; stable — detail on SuspensionGeom tab</t>
  </si>
  <si>
    <t xml:space="preserve">Roll-centre height rear</t>
  </si>
  <si>
    <t xml:space="preserve">Bump steer</t>
  </si>
  <si>
    <t xml:space="preserve">≈ 0</t>
  </si>
  <si>
    <t xml:space="preserve">toe change through travel — minimise</t>
  </si>
  <si>
    <t xml:space="preserve">Caster</t>
  </si>
  <si>
    <t xml:space="preserve">self-centring &amp; dynamic camber</t>
  </si>
  <si>
    <t xml:space="preserve">Toe front</t>
  </si>
  <si>
    <t xml:space="preserve">slight toe-out = turn-in; toe-in = stability</t>
  </si>
  <si>
    <t xml:space="preserve">Toe rear</t>
  </si>
  <si>
    <t xml:space="preserve">PLATFORM (from Master)</t>
  </si>
  <si>
    <t xml:space="preserve">→ brake torque/bias on the Brakes tab · springs on SpringsDampers · geometry on SuspensionGeom · member loads on SuspensionLoads · steering on Steering.</t>
  </si>
  <si>
    <t xml:space="preserve">VEHICLE DYNAMICS — BRAKE SYSTEM CALCULATOR</t>
  </si>
  <si>
    <t xml:space="preserve">Pedal → master cylinder → caliper → rotor. Yellow = inputs (your hardware). Black = computed clamp force and wheel torque. Compare the achieved front bias with the Olley optimum below.</t>
  </si>
  <si>
    <t xml:space="preserve">Front</t>
  </si>
  <si>
    <t xml:space="preserve">Rear</t>
  </si>
  <si>
    <t xml:space="preserve">DRIVER &amp; MASTER CYLINDER</t>
  </si>
  <si>
    <t xml:space="preserve">Pedal force (one hard push)</t>
  </si>
  <si>
    <t xml:space="preserve">N</t>
  </si>
  <si>
    <t xml:space="preserve">Pedal ratio</t>
  </si>
  <si>
    <t xml:space="preserve">Master-cylinder bore</t>
  </si>
  <si>
    <t xml:space="preserve">Circuits fed by this MC (1 or 2)</t>
  </si>
  <si>
    <t xml:space="preserve">Pushrod force = pedal × ratio</t>
  </si>
  <si>
    <t xml:space="preserve">MC area = π·d²/4</t>
  </si>
  <si>
    <t xml:space="preserve">m²</t>
  </si>
  <si>
    <t xml:space="preserve">Line pressure = force /(area×circuits)</t>
  </si>
  <si>
    <t xml:space="preserve">Pa</t>
  </si>
  <si>
    <t xml:space="preserve">Line pressure</t>
  </si>
  <si>
    <t xml:space="preserve">kPa</t>
  </si>
  <si>
    <t xml:space="preserve">CALIPER &amp; ROTOR</t>
  </si>
  <si>
    <t xml:space="preserve">Caliper piston bore</t>
  </si>
  <si>
    <t xml:space="preserve">Pistons per side (clamping)</t>
  </si>
  <si>
    <t xml:space="preserve">Pad friction coefficient</t>
  </si>
  <si>
    <t xml:space="preserve">Rotor outer diameter</t>
  </si>
  <si>
    <t xml:space="preserve">Pad radial depth</t>
  </si>
  <si>
    <t xml:space="preserve">Caliper piston area (one)</t>
  </si>
  <si>
    <t xml:space="preserve">Clamp force = P × area × pistons</t>
  </si>
  <si>
    <t xml:space="preserve">Friction force = clamp × 2 pads × μ</t>
  </si>
  <si>
    <t xml:space="preserve">Effective radius = ⅔·(Ro³−Ri³)/(Ro²−Ri²)</t>
  </si>
  <si>
    <t xml:space="preserve">m</t>
  </si>
  <si>
    <t xml:space="preserve">Brake torque PER WHEEL</t>
  </si>
  <si>
    <t xml:space="preserve">N·m</t>
  </si>
  <si>
    <t xml:space="preserve">Achieved front brake bias</t>
  </si>
  <si>
    <t xml:space="preserve">front</t>
  </si>
  <si>
    <t xml:space="preserve">OLLEY OPTIMUM BIAS &amp; DECELERATION SWEEP (uses Master mass/geometry)</t>
  </si>
  <si>
    <t xml:space="preserve">Static front mass fraction (from Master)</t>
  </si>
  <si>
    <t xml:space="preserve">CoG height (from Master)</t>
  </si>
  <si>
    <t xml:space="preserve">Wheelbase (from Master)</t>
  </si>
  <si>
    <t xml:space="preserve">Tyre–road μ (from Master)</t>
  </si>
  <si>
    <t xml:space="preserve">Olley optimum front bias = ff + μ·h/L</t>
  </si>
  <si>
    <t xml:space="preserve">aim achieved ≈ this</t>
  </si>
  <si>
    <t xml:space="preserve">Decel (g)</t>
  </si>
  <si>
    <t xml:space="preserve">Dynamic front fraction</t>
  </si>
  <si>
    <t xml:space="preserve">Optimum front bias</t>
  </si>
  <si>
    <t xml:space="preserve">front share needed to lock evenly</t>
  </si>
  <si>
    <t xml:space="preserve">VEHICLE DYNAMICS — SUSPENSION GEOMETRY &amp; HARDPOINTS</t>
  </si>
  <si>
    <t xml:space="preserve">Front-view geometry (roll centre, scrub, VSAL, trail) plus the hardpoint coordinate table you freeze at Gate G3. Units mm / deg. Fill yellow; black computes.</t>
  </si>
  <si>
    <t xml:space="preserve">Desired parameter</t>
  </si>
  <si>
    <t xml:space="preserve">Roll-centre height from ground</t>
  </si>
  <si>
    <t xml:space="preserve">Virtual swing-arm length (VSAL)</t>
  </si>
  <si>
    <t xml:space="preserve">Scrub radius</t>
  </si>
  <si>
    <t xml:space="preserve">Kingpin inclination (KPI)</t>
  </si>
  <si>
    <t xml:space="preserve">Caster angle</t>
  </si>
  <si>
    <t xml:space="preserve">Mechanical trail</t>
  </si>
  <si>
    <t xml:space="preserve">Lower outer ball-joint height</t>
  </si>
  <si>
    <t xml:space="preserve">Upper outer ball-joint height</t>
  </si>
  <si>
    <t xml:space="preserve">Lower arm length</t>
  </si>
  <si>
    <t xml:space="preserve">Upper arm length</t>
  </si>
  <si>
    <t xml:space="preserve">Caster (rad, for geometry)</t>
  </si>
  <si>
    <t xml:space="preserve">rad</t>
  </si>
  <si>
    <t xml:space="preserve">KPI (rad, for geometry)</t>
  </si>
  <si>
    <t xml:space="preserve">RC height / total mass check</t>
  </si>
  <si>
    <t xml:space="preserve">keep low &amp; stable in roll</t>
  </si>
  <si>
    <t xml:space="preserve">HARDPOINT COORDINATES — ONE CORNER (freeze at G3)</t>
  </si>
  <si>
    <t xml:space="preserve">Hardpoint</t>
  </si>
  <si>
    <t xml:space="preserve">x (mm)</t>
  </si>
  <si>
    <t xml:space="preserve">y (mm)</t>
  </si>
  <si>
    <t xml:space="preserve">z (mm)</t>
  </si>
  <si>
    <t xml:space="preserve">Lower arm front pivot</t>
  </si>
  <si>
    <t xml:space="preserve">Lower arm rear pivot</t>
  </si>
  <si>
    <t xml:space="preserve">Lower outer ball joint</t>
  </si>
  <si>
    <t xml:space="preserve">Upper arm front pivot</t>
  </si>
  <si>
    <t xml:space="preserve">Upper arm rear pivot</t>
  </si>
  <si>
    <t xml:space="preserve">Upper outer ball joint</t>
  </si>
  <si>
    <t xml:space="preserve">Tie-rod inner</t>
  </si>
  <si>
    <t xml:space="preserve">Tie-rod outer</t>
  </si>
  <si>
    <t xml:space="preserve">Pushrod inner</t>
  </si>
  <si>
    <t xml:space="preserve">Pushrod outer</t>
  </si>
  <si>
    <t xml:space="preserve">Bell-crank pivot</t>
  </si>
  <si>
    <t xml:space="preserve">Damper inboard</t>
  </si>
  <si>
    <t xml:space="preserve">Damper outboard</t>
  </si>
  <si>
    <t xml:space="preserve">Wheel centre</t>
  </si>
  <si>
    <t xml:space="preserve">Contact patch</t>
  </si>
  <si>
    <t xml:space="preserve">VEHICLE DYNAMICS — SPRING &amp; DAMPER SIZING</t>
  </si>
  <si>
    <t xml:space="preserve">Ride-frequency method. Target a frequency, pull sprung corner mass, get wheel rate → spring rate through the motion ratio. Then size travel and damping.</t>
  </si>
  <si>
    <t xml:space="preserve">Total mass (from Master)</t>
  </si>
  <si>
    <t xml:space="preserve">Front mass fraction (from Master)</t>
  </si>
  <si>
    <t xml:space="preserve">Unsprung mass per corner</t>
  </si>
  <si>
    <t xml:space="preserve">Target ride frequency</t>
  </si>
  <si>
    <t xml:space="preserve">Hz</t>
  </si>
  <si>
    <t xml:space="preserve">Sprung corner mass</t>
  </si>
  <si>
    <t xml:space="preserve">Wheel rate = (2πf)²·m</t>
  </si>
  <si>
    <t xml:space="preserve">N/mm</t>
  </si>
  <si>
    <t xml:space="preserve">Spring rate = wheel rate / MR²</t>
  </si>
  <si>
    <t xml:space="preserve">Chosen spring rate (nearest available)</t>
  </si>
  <si>
    <t xml:space="preserve">Re-check ride frequency with chosen</t>
  </si>
  <si>
    <t xml:space="preserve">TRAVEL &amp; DAMPING</t>
  </si>
  <si>
    <t xml:space="preserve">Target wheel travel (bump)</t>
  </si>
  <si>
    <t xml:space="preserve">Target wheel travel (droop)</t>
  </si>
  <si>
    <t xml:space="preserve">Spring travel (wheel travel × MR)</t>
  </si>
  <si>
    <t xml:space="preserve">Target damping ratio</t>
  </si>
  <si>
    <t xml:space="preserve">Critical damping = 2√(k·m)</t>
  </si>
  <si>
    <t xml:space="preserve">N·s/m</t>
  </si>
  <si>
    <t xml:space="preserve">Damper rate at the wheel = ζ·Cc</t>
  </si>
  <si>
    <t xml:space="preserve">VEHICLE DYNAMICS — WISHBONE &amp; PUSHROD LOAD CASES</t>
  </si>
  <si>
    <t xml:space="preserve">Vertical, braking and cornering load cases → pushrod and wishbone member loads for tube sizing / FEA. Plus anti-dive / anti-squat. Yellow = inputs; black computes.</t>
  </si>
  <si>
    <t xml:space="preserve">Dynamic magnification factor (vertical)</t>
  </si>
  <si>
    <t xml:space="preserve">Aero downforce per axle</t>
  </si>
  <si>
    <t xml:space="preserve">Static corner vertical load</t>
  </si>
  <si>
    <t xml:space="preserve">Max vertical load case = static·DMF + DF</t>
  </si>
  <si>
    <t xml:space="preserve">Pushrod angle to horizontal</t>
  </si>
  <si>
    <t xml:space="preserve">Pushrod force = vertical / sin(θ)</t>
  </si>
  <si>
    <t xml:space="preserve">ANTI-DIVE / ANTI-SQUAT</t>
  </si>
  <si>
    <t xml:space="preserve">Side-view swing-arm angle θ (to ground)</t>
  </si>
  <si>
    <t xml:space="preserve">Brake bias / drive share on this axle</t>
  </si>
  <si>
    <t xml:space="preserve">% anti-dive (front) / anti-squat (rear)</t>
  </si>
  <si>
    <t xml:space="preserve">%</t>
  </si>
  <si>
    <t xml:space="preserve">VEHICLE DYNAMICS — STEERING (ACKERMANN + RACK &amp; PINION)</t>
  </si>
  <si>
    <t xml:space="preserve">Ackermann and rack travel at the top; rack-and-pinion gear geometry table below (teeth/module → pitch, PCD, addendum, dedendum, tooth thickness). Yellow = inputs.</t>
  </si>
  <si>
    <t xml:space="preserve">Front track (from Master)</t>
  </si>
  <si>
    <t xml:space="preserve">Kingpin-to-kingpin distance</t>
  </si>
  <si>
    <t xml:space="preserve">Steering-arm length</t>
  </si>
  <si>
    <t xml:space="preserve">Target turning radius</t>
  </si>
  <si>
    <t xml:space="preserve">Ackermann ideance: δin−δout</t>
  </si>
  <si>
    <t xml:space="preserve">ideal inner−outer steer split</t>
  </si>
  <si>
    <t xml:space="preserve">Rack travel (lock-to-lock)</t>
  </si>
  <si>
    <t xml:space="preserve">Steering-wheel turns (lock-to-lock)</t>
  </si>
  <si>
    <t xml:space="preserve">RACK &amp; PINION GEAR GEOMETRY</t>
  </si>
  <si>
    <t xml:space="preserve">Teeth / module</t>
  </si>
  <si>
    <t xml:space="preserve">Formula</t>
  </si>
  <si>
    <t xml:space="preserve">Pinion pitch diameter</t>
  </si>
  <si>
    <t xml:space="preserve">Number of teeth</t>
  </si>
  <si>
    <t xml:space="preserve">Module m = d / N</t>
  </si>
  <si>
    <t xml:space="preserve">Circular pitch = π·m</t>
  </si>
  <si>
    <t xml:space="preserve">Base circle dia = PCD·cos20°</t>
  </si>
  <si>
    <t xml:space="preserve">Addendum = 0.8·m</t>
  </si>
  <si>
    <t xml:space="preserve">Dedendum = 1.0·m</t>
  </si>
  <si>
    <t xml:space="preserve">Tooth thickness = 1.5708·m</t>
  </si>
  <si>
    <t xml:space="preserve">Rack travel per pinion rev = π·d</t>
  </si>
  <si>
    <t xml:space="preserve">mm/rev</t>
  </si>
  <si>
    <t xml:space="preserve">TO MASTER  —  what you give back</t>
  </si>
  <si>
    <t xml:space="preserve">Fill your results, then copy them into the named cells on the Master’s hand-off sheet (or the team owner does).</t>
  </si>
  <si>
    <t xml:space="preserve">Your result</t>
  </si>
  <si>
    <t xml:space="preserve">Where it goes on the Master</t>
  </si>
  <si>
    <t xml:space="preserve">Measured roll gradient</t>
  </si>
  <si>
    <t xml:space="preserve">deg/g</t>
  </si>
  <si>
    <t xml:space="preserve">Master → Validation tab</t>
  </si>
  <si>
    <t xml:space="preserve">Measured understeer gradient</t>
  </si>
  <si>
    <t xml:space="preserve">Front/rear brake torque target</t>
  </si>
  <si>
    <t xml:space="preserve">Master → Brakes hand-off tab</t>
  </si>
  <si>
    <t xml:space="preserve">Achieved brake bias (front)</t>
  </si>
  <si>
    <t xml:space="preserve">Spring rate front/rear</t>
  </si>
  <si>
    <t xml:space="preserve">Master → Springs tab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</si>
</sst>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"/>
    <numFmt numFmtId="167" formatCode="0"/>
    <numFmt numFmtId="168" formatCode="0.00"/>
    <numFmt numFmtId="169" formatCode="0.000"/>
    <numFmt numFmtId="170" formatCode="0.000000"/>
    <numFmt numFmtId="171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1121F"/>
        <bgColor rgb="FFFF0000"/>
      </patternFill>
    </fill>
    <fill>
      <patternFill patternType="solid">
        <fgColor rgb="FF232326"/>
        <bgColor rgb="FF333300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1121F"/>
      <rgbColor rgb="FF993366"/>
      <rgbColor rgb="FF333399"/>
      <rgbColor rgb="FF2323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6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16.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42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2" customFormat="false" ht="16.5" hidden="false" customHeight="true" outlineLevel="0" collapsed="false">
      <c r="A12" s="3" t="s">
        <v>10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5" t="s">
        <v>11</v>
      </c>
      <c r="B13" s="6" t="s">
        <v>12</v>
      </c>
      <c r="C13" s="6"/>
      <c r="D13" s="6"/>
      <c r="E13" s="6"/>
      <c r="F13" s="6"/>
    </row>
    <row r="14" customFormat="false" ht="15" hidden="false" customHeight="false" outlineLevel="0" collapsed="false">
      <c r="A14" s="7" t="s">
        <v>13</v>
      </c>
      <c r="B14" s="6" t="s">
        <v>14</v>
      </c>
      <c r="C14" s="6"/>
      <c r="D14" s="6"/>
      <c r="E14" s="6"/>
      <c r="F14" s="6"/>
    </row>
    <row r="15" customFormat="false" ht="15" hidden="false" customHeight="false" outlineLevel="0" collapsed="false">
      <c r="A15" s="8" t="s">
        <v>15</v>
      </c>
      <c r="B15" s="6" t="s">
        <v>16</v>
      </c>
      <c r="C15" s="6"/>
      <c r="D15" s="6"/>
      <c r="E15" s="6"/>
      <c r="F15" s="6"/>
    </row>
  </sheetData>
  <mergeCells count="14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17</v>
      </c>
      <c r="B1" s="1"/>
      <c r="C1" s="1"/>
      <c r="D1" s="1"/>
    </row>
    <row r="2" customFormat="false" ht="15" hidden="false" customHeight="false" outlineLevel="0" collapsed="false">
      <c r="A2" s="2" t="s">
        <v>18</v>
      </c>
      <c r="B2" s="2"/>
      <c r="C2" s="2"/>
      <c r="D2" s="2"/>
    </row>
    <row r="3" customFormat="false" ht="15" hidden="false" customHeight="false" outlineLevel="0" collapsed="false">
      <c r="A3" s="8" t="s">
        <v>19</v>
      </c>
      <c r="B3" s="9" t="s">
        <v>20</v>
      </c>
      <c r="C3" s="9"/>
      <c r="D3" s="9"/>
    </row>
    <row r="5" customFormat="false" ht="25.5" hidden="false" customHeight="true" outlineLevel="0" collapsed="false">
      <c r="A5" s="10" t="s">
        <v>21</v>
      </c>
      <c r="B5" s="10" t="s">
        <v>22</v>
      </c>
      <c r="C5" s="10" t="s">
        <v>23</v>
      </c>
      <c r="D5" s="10" t="s">
        <v>24</v>
      </c>
    </row>
    <row r="6" customFormat="false" ht="15" hidden="false" customHeight="false" outlineLevel="0" collapsed="false">
      <c r="A6" s="11" t="s">
        <v>25</v>
      </c>
      <c r="B6" s="12" t="n">
        <v>264</v>
      </c>
      <c r="C6" s="11" t="s">
        <v>26</v>
      </c>
      <c r="D6" s="13" t="s">
        <v>27</v>
      </c>
    </row>
    <row r="7" customFormat="false" ht="15" hidden="false" customHeight="false" outlineLevel="0" collapsed="false">
      <c r="A7" s="11" t="s">
        <v>28</v>
      </c>
      <c r="B7" s="14" t="n">
        <v>0.456867057673509</v>
      </c>
      <c r="C7" s="11" t="s">
        <v>29</v>
      </c>
      <c r="D7" s="13" t="s">
        <v>30</v>
      </c>
    </row>
    <row r="8" customFormat="false" ht="15" hidden="false" customHeight="false" outlineLevel="0" collapsed="false">
      <c r="A8" s="11" t="s">
        <v>31</v>
      </c>
      <c r="B8" s="15" t="n">
        <v>263.409090909091</v>
      </c>
      <c r="C8" s="11" t="s">
        <v>32</v>
      </c>
      <c r="D8" s="13" t="s">
        <v>33</v>
      </c>
    </row>
    <row r="9" customFormat="false" ht="15" hidden="false" customHeight="false" outlineLevel="0" collapsed="false">
      <c r="A9" s="11" t="s">
        <v>34</v>
      </c>
      <c r="B9" s="15" t="n">
        <v>1550</v>
      </c>
      <c r="C9" s="11" t="s">
        <v>32</v>
      </c>
      <c r="D9" s="13" t="s">
        <v>35</v>
      </c>
    </row>
    <row r="10" customFormat="false" ht="15" hidden="false" customHeight="false" outlineLevel="0" collapsed="false">
      <c r="A10" s="11" t="s">
        <v>36</v>
      </c>
      <c r="B10" s="15" t="n">
        <v>1200</v>
      </c>
      <c r="C10" s="11" t="s">
        <v>32</v>
      </c>
      <c r="D10" s="13" t="s">
        <v>37</v>
      </c>
    </row>
    <row r="11" customFormat="false" ht="15" hidden="false" customHeight="false" outlineLevel="0" collapsed="false">
      <c r="A11" s="11" t="s">
        <v>38</v>
      </c>
      <c r="B11" s="15" t="n">
        <v>1180</v>
      </c>
      <c r="C11" s="11" t="s">
        <v>32</v>
      </c>
      <c r="D11" s="13" t="s">
        <v>39</v>
      </c>
    </row>
    <row r="12" customFormat="false" ht="15" hidden="false" customHeight="false" outlineLevel="0" collapsed="false">
      <c r="A12" s="11" t="s">
        <v>40</v>
      </c>
      <c r="B12" s="16" t="n">
        <v>1.5</v>
      </c>
      <c r="C12" s="11" t="s">
        <v>29</v>
      </c>
      <c r="D12" s="13" t="s">
        <v>41</v>
      </c>
    </row>
    <row r="13" customFormat="false" ht="15" hidden="false" customHeight="false" outlineLevel="0" collapsed="false">
      <c r="A13" s="11" t="s">
        <v>42</v>
      </c>
      <c r="B13" s="15" t="n">
        <v>1100</v>
      </c>
      <c r="C13" s="11" t="s">
        <v>43</v>
      </c>
      <c r="D13" s="13" t="s">
        <v>44</v>
      </c>
    </row>
    <row r="14" customFormat="false" ht="15" hidden="false" customHeight="false" outlineLevel="0" collapsed="false">
      <c r="A14" s="11" t="s">
        <v>45</v>
      </c>
      <c r="B14" s="16" t="n">
        <v>0.7</v>
      </c>
      <c r="C14" s="11" t="s">
        <v>29</v>
      </c>
      <c r="D14" s="13" t="s">
        <v>46</v>
      </c>
    </row>
  </sheetData>
  <mergeCells count="3">
    <mergeCell ref="A1:D1"/>
    <mergeCell ref="A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4" hidden="false" customHeight="true" outlineLevel="0" collapsed="false">
      <c r="A1" s="1" t="s">
        <v>47</v>
      </c>
      <c r="B1" s="1"/>
      <c r="C1" s="1"/>
      <c r="D1" s="1"/>
    </row>
    <row r="2" customFormat="false" ht="15" hidden="false" customHeight="false" outlineLevel="0" collapsed="false">
      <c r="A2" s="2" t="s">
        <v>48</v>
      </c>
      <c r="B2" s="2"/>
      <c r="C2" s="2"/>
      <c r="D2" s="2"/>
    </row>
    <row r="4" customFormat="false" ht="25.5" hidden="false" customHeight="true" outlineLevel="0" collapsed="false">
      <c r="A4" s="10" t="s">
        <v>49</v>
      </c>
      <c r="B4" s="10" t="s">
        <v>50</v>
      </c>
      <c r="C4" s="10" t="s">
        <v>23</v>
      </c>
      <c r="D4" s="10" t="s">
        <v>51</v>
      </c>
    </row>
    <row r="5" customFormat="false" ht="16.5" hidden="false" customHeight="true" outlineLevel="0" collapsed="false">
      <c r="A5" s="3" t="s">
        <v>52</v>
      </c>
      <c r="B5" s="3"/>
      <c r="C5" s="3"/>
      <c r="D5" s="3"/>
    </row>
    <row r="6" customFormat="false" ht="26.85" hidden="false" customHeight="false" outlineLevel="0" collapsed="false">
      <c r="A6" s="11" t="s">
        <v>53</v>
      </c>
      <c r="B6" s="9" t="n">
        <v>-2</v>
      </c>
      <c r="C6" s="11" t="s">
        <v>54</v>
      </c>
      <c r="D6" s="17" t="s">
        <v>55</v>
      </c>
    </row>
    <row r="7" customFormat="false" ht="15" hidden="false" customHeight="false" outlineLevel="0" collapsed="false">
      <c r="A7" s="11" t="s">
        <v>56</v>
      </c>
      <c r="B7" s="9" t="n">
        <v>-1</v>
      </c>
      <c r="C7" s="11" t="s">
        <v>54</v>
      </c>
      <c r="D7" s="17"/>
    </row>
    <row r="8" customFormat="false" ht="26.85" hidden="false" customHeight="false" outlineLevel="0" collapsed="false">
      <c r="A8" s="11" t="s">
        <v>57</v>
      </c>
      <c r="B8" s="9" t="n">
        <v>-0.8</v>
      </c>
      <c r="C8" s="11" t="s">
        <v>54</v>
      </c>
      <c r="D8" s="17" t="s">
        <v>58</v>
      </c>
    </row>
    <row r="9" customFormat="false" ht="26.85" hidden="false" customHeight="false" outlineLevel="0" collapsed="false">
      <c r="A9" s="11" t="s">
        <v>59</v>
      </c>
      <c r="B9" s="9" t="n">
        <v>30</v>
      </c>
      <c r="C9" s="11" t="s">
        <v>32</v>
      </c>
      <c r="D9" s="17" t="s">
        <v>60</v>
      </c>
    </row>
    <row r="10" customFormat="false" ht="15" hidden="false" customHeight="false" outlineLevel="0" collapsed="false">
      <c r="A10" s="11" t="s">
        <v>61</v>
      </c>
      <c r="B10" s="9" t="n">
        <v>45</v>
      </c>
      <c r="C10" s="11" t="s">
        <v>32</v>
      </c>
      <c r="D10" s="17"/>
    </row>
    <row r="11" customFormat="false" ht="26.85" hidden="false" customHeight="false" outlineLevel="0" collapsed="false">
      <c r="A11" s="11" t="s">
        <v>62</v>
      </c>
      <c r="B11" s="9" t="s">
        <v>63</v>
      </c>
      <c r="C11" s="11" t="s">
        <v>54</v>
      </c>
      <c r="D11" s="17" t="s">
        <v>64</v>
      </c>
    </row>
    <row r="12" customFormat="false" ht="15" hidden="false" customHeight="false" outlineLevel="0" collapsed="false">
      <c r="A12" s="11" t="s">
        <v>65</v>
      </c>
      <c r="B12" s="9" t="n">
        <v>5</v>
      </c>
      <c r="C12" s="11" t="s">
        <v>54</v>
      </c>
      <c r="D12" s="17" t="s">
        <v>66</v>
      </c>
    </row>
    <row r="13" customFormat="false" ht="26.85" hidden="false" customHeight="false" outlineLevel="0" collapsed="false">
      <c r="A13" s="11" t="s">
        <v>67</v>
      </c>
      <c r="B13" s="9" t="n">
        <v>0</v>
      </c>
      <c r="C13" s="11" t="s">
        <v>54</v>
      </c>
      <c r="D13" s="17" t="s">
        <v>68</v>
      </c>
    </row>
    <row r="14" customFormat="false" ht="15" hidden="false" customHeight="false" outlineLevel="0" collapsed="false">
      <c r="A14" s="11" t="s">
        <v>69</v>
      </c>
      <c r="B14" s="9" t="n">
        <v>0.1</v>
      </c>
      <c r="C14" s="11" t="s">
        <v>54</v>
      </c>
      <c r="D14" s="17"/>
    </row>
    <row r="16" customFormat="false" ht="16.5" hidden="false" customHeight="true" outlineLevel="0" collapsed="false">
      <c r="A16" s="3" t="s">
        <v>70</v>
      </c>
      <c r="B16" s="3"/>
      <c r="C16" s="3"/>
      <c r="D16" s="3"/>
    </row>
    <row r="17" customFormat="false" ht="15" hidden="false" customHeight="false" outlineLevel="0" collapsed="false">
      <c r="A17" s="11" t="s">
        <v>36</v>
      </c>
      <c r="B17" s="18" t="n">
        <f aca="false">FromMaster!B10</f>
        <v>1200</v>
      </c>
      <c r="C17" s="11" t="s">
        <v>32</v>
      </c>
    </row>
    <row r="18" customFormat="false" ht="15" hidden="false" customHeight="false" outlineLevel="0" collapsed="false">
      <c r="A18" s="11" t="s">
        <v>38</v>
      </c>
      <c r="B18" s="18" t="n">
        <f aca="false">FromMaster!B11</f>
        <v>1180</v>
      </c>
      <c r="C18" s="11" t="s">
        <v>32</v>
      </c>
    </row>
    <row r="19" customFormat="false" ht="15" hidden="false" customHeight="false" outlineLevel="0" collapsed="false">
      <c r="A19" s="11" t="s">
        <v>34</v>
      </c>
      <c r="B19" s="18" t="n">
        <f aca="false">FromMaster!B9</f>
        <v>1550</v>
      </c>
      <c r="C19" s="11" t="s">
        <v>32</v>
      </c>
    </row>
    <row r="20" customFormat="false" ht="15" hidden="false" customHeight="false" outlineLevel="0" collapsed="false">
      <c r="A20" s="11" t="s">
        <v>40</v>
      </c>
      <c r="B20" s="19" t="n">
        <f aca="false">FromMaster!B12</f>
        <v>1.5</v>
      </c>
      <c r="C20" s="11" t="s">
        <v>29</v>
      </c>
    </row>
    <row r="21" customFormat="false" ht="26.85" hidden="false" customHeight="true" outlineLevel="0" collapsed="false">
      <c r="A21" s="17" t="s">
        <v>71</v>
      </c>
      <c r="B21" s="17"/>
      <c r="C21" s="17"/>
      <c r="D21" s="17"/>
    </row>
  </sheetData>
  <mergeCells count="5">
    <mergeCell ref="A1:D1"/>
    <mergeCell ref="A2:D2"/>
    <mergeCell ref="A5:D5"/>
    <mergeCell ref="A16:D16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0"/>
  </cols>
  <sheetData>
    <row r="1" customFormat="false" ht="24" hidden="false" customHeight="true" outlineLevel="0" collapsed="false">
      <c r="A1" s="1" t="s">
        <v>72</v>
      </c>
      <c r="B1" s="1"/>
      <c r="C1" s="1"/>
      <c r="D1" s="1"/>
    </row>
    <row r="2" customFormat="false" ht="15" hidden="false" customHeight="false" outlineLevel="0" collapsed="false">
      <c r="A2" s="2" t="s">
        <v>73</v>
      </c>
      <c r="B2" s="2"/>
      <c r="C2" s="2"/>
      <c r="D2" s="2"/>
    </row>
    <row r="4" customFormat="false" ht="25.5" hidden="false" customHeight="true" outlineLevel="0" collapsed="false">
      <c r="A4" s="10" t="s">
        <v>21</v>
      </c>
      <c r="B4" s="10" t="s">
        <v>74</v>
      </c>
      <c r="C4" s="10" t="s">
        <v>75</v>
      </c>
      <c r="D4" s="10" t="s">
        <v>23</v>
      </c>
    </row>
    <row r="5" customFormat="false" ht="16.5" hidden="false" customHeight="true" outlineLevel="0" collapsed="false">
      <c r="A5" s="3" t="s">
        <v>76</v>
      </c>
      <c r="B5" s="3"/>
      <c r="C5" s="3"/>
      <c r="D5" s="3"/>
    </row>
    <row r="6" customFormat="false" ht="15" hidden="false" customHeight="false" outlineLevel="0" collapsed="false">
      <c r="A6" s="11" t="s">
        <v>77</v>
      </c>
      <c r="B6" s="15" t="n">
        <v>400</v>
      </c>
      <c r="C6" s="15" t="n">
        <v>400</v>
      </c>
      <c r="D6" s="11" t="s">
        <v>78</v>
      </c>
    </row>
    <row r="7" customFormat="false" ht="15" hidden="false" customHeight="false" outlineLevel="0" collapsed="false">
      <c r="A7" s="11" t="s">
        <v>79</v>
      </c>
      <c r="B7" s="12" t="n">
        <v>5</v>
      </c>
      <c r="C7" s="12" t="n">
        <v>5</v>
      </c>
      <c r="D7" s="11" t="s">
        <v>29</v>
      </c>
    </row>
    <row r="8" customFormat="false" ht="15" hidden="false" customHeight="false" outlineLevel="0" collapsed="false">
      <c r="A8" s="11" t="s">
        <v>80</v>
      </c>
      <c r="B8" s="20" t="n">
        <v>15.875</v>
      </c>
      <c r="C8" s="20" t="n">
        <v>15.875</v>
      </c>
      <c r="D8" s="11" t="s">
        <v>32</v>
      </c>
    </row>
    <row r="9" customFormat="false" ht="15" hidden="false" customHeight="false" outlineLevel="0" collapsed="false">
      <c r="A9" s="11" t="s">
        <v>81</v>
      </c>
      <c r="B9" s="15" t="n">
        <v>2</v>
      </c>
      <c r="C9" s="15" t="n">
        <v>2</v>
      </c>
      <c r="D9" s="11" t="s">
        <v>29</v>
      </c>
    </row>
    <row r="10" customFormat="false" ht="15" hidden="false" customHeight="false" outlineLevel="0" collapsed="false">
      <c r="A10" s="11" t="s">
        <v>82</v>
      </c>
      <c r="B10" s="21" t="n">
        <f aca="false">B6*B7</f>
        <v>2000</v>
      </c>
      <c r="C10" s="21" t="n">
        <f aca="false">C6*C7</f>
        <v>2000</v>
      </c>
      <c r="D10" s="11" t="s">
        <v>78</v>
      </c>
    </row>
    <row r="11" customFormat="false" ht="15" hidden="false" customHeight="false" outlineLevel="0" collapsed="false">
      <c r="A11" s="11" t="s">
        <v>83</v>
      </c>
      <c r="B11" s="22" t="n">
        <f aca="false">PI()*(B8/1000)^2/4</f>
        <v>0.00019793260902246</v>
      </c>
      <c r="C11" s="22" t="n">
        <f aca="false">PI()*(C8/1000)^2/4</f>
        <v>0.00019793260902246</v>
      </c>
      <c r="D11" s="11" t="s">
        <v>84</v>
      </c>
    </row>
    <row r="12" customFormat="false" ht="15" hidden="false" customHeight="false" outlineLevel="0" collapsed="false">
      <c r="A12" s="11" t="s">
        <v>85</v>
      </c>
      <c r="B12" s="21" t="n">
        <f aca="false">B10/(B11*B9)</f>
        <v>5052224.61795836</v>
      </c>
      <c r="C12" s="21" t="n">
        <f aca="false">C10/(C11*C9)</f>
        <v>5052224.61795836</v>
      </c>
      <c r="D12" s="11" t="s">
        <v>86</v>
      </c>
    </row>
    <row r="13" customFormat="false" ht="15" hidden="false" customHeight="false" outlineLevel="0" collapsed="false">
      <c r="A13" s="11" t="s">
        <v>87</v>
      </c>
      <c r="B13" s="21" t="n">
        <f aca="false">B12/1000</f>
        <v>5052.22461795836</v>
      </c>
      <c r="C13" s="21" t="n">
        <f aca="false">C12/1000</f>
        <v>5052.22461795836</v>
      </c>
      <c r="D13" s="11" t="s">
        <v>88</v>
      </c>
    </row>
    <row r="14" customFormat="false" ht="16.5" hidden="false" customHeight="true" outlineLevel="0" collapsed="false">
      <c r="A14" s="3" t="s">
        <v>89</v>
      </c>
      <c r="B14" s="3"/>
      <c r="C14" s="3"/>
      <c r="D14" s="3"/>
    </row>
    <row r="15" customFormat="false" ht="15" hidden="false" customHeight="false" outlineLevel="0" collapsed="false">
      <c r="A15" s="11" t="s">
        <v>90</v>
      </c>
      <c r="B15" s="12" t="n">
        <v>25</v>
      </c>
      <c r="C15" s="12" t="n">
        <v>25</v>
      </c>
      <c r="D15" s="11" t="s">
        <v>32</v>
      </c>
    </row>
    <row r="16" customFormat="false" ht="15" hidden="false" customHeight="false" outlineLevel="0" collapsed="false">
      <c r="A16" s="11" t="s">
        <v>91</v>
      </c>
      <c r="B16" s="15" t="n">
        <v>2</v>
      </c>
      <c r="C16" s="15" t="n">
        <v>1</v>
      </c>
      <c r="D16" s="11" t="s">
        <v>29</v>
      </c>
    </row>
    <row r="17" customFormat="false" ht="15" hidden="false" customHeight="false" outlineLevel="0" collapsed="false">
      <c r="A17" s="11" t="s">
        <v>92</v>
      </c>
      <c r="B17" s="16" t="n">
        <v>0.45</v>
      </c>
      <c r="C17" s="16" t="n">
        <v>0.45</v>
      </c>
      <c r="D17" s="11" t="s">
        <v>29</v>
      </c>
    </row>
    <row r="18" customFormat="false" ht="15" hidden="false" customHeight="false" outlineLevel="0" collapsed="false">
      <c r="A18" s="11" t="s">
        <v>93</v>
      </c>
      <c r="B18" s="15" t="n">
        <v>180</v>
      </c>
      <c r="C18" s="15" t="n">
        <v>180</v>
      </c>
      <c r="D18" s="11" t="s">
        <v>32</v>
      </c>
    </row>
    <row r="19" customFormat="false" ht="15" hidden="false" customHeight="false" outlineLevel="0" collapsed="false">
      <c r="A19" s="11" t="s">
        <v>94</v>
      </c>
      <c r="B19" s="15" t="n">
        <v>27</v>
      </c>
      <c r="C19" s="15" t="n">
        <v>27</v>
      </c>
      <c r="D19" s="11" t="s">
        <v>32</v>
      </c>
    </row>
    <row r="20" customFormat="false" ht="15" hidden="false" customHeight="false" outlineLevel="0" collapsed="false">
      <c r="A20" s="11" t="s">
        <v>95</v>
      </c>
      <c r="B20" s="22" t="n">
        <f aca="false">PI()*(B15/1000)^2/4</f>
        <v>0.000490873852123405</v>
      </c>
      <c r="C20" s="22" t="n">
        <f aca="false">PI()*(C15/1000)^2/4</f>
        <v>0.000490873852123405</v>
      </c>
      <c r="D20" s="11" t="s">
        <v>84</v>
      </c>
    </row>
    <row r="21" customFormat="false" ht="15" hidden="false" customHeight="false" outlineLevel="0" collapsed="false">
      <c r="A21" s="11" t="s">
        <v>96</v>
      </c>
      <c r="B21" s="21" t="n">
        <f aca="false">B12*B20*B16</f>
        <v>4960.00992001984</v>
      </c>
      <c r="C21" s="21" t="n">
        <f aca="false">C12*C20*C16</f>
        <v>2480.00496000992</v>
      </c>
      <c r="D21" s="11" t="s">
        <v>78</v>
      </c>
    </row>
    <row r="22" customFormat="false" ht="15" hidden="false" customHeight="false" outlineLevel="0" collapsed="false">
      <c r="A22" s="11" t="s">
        <v>97</v>
      </c>
      <c r="B22" s="21" t="n">
        <f aca="false">B21*2*B17</f>
        <v>4464.00892801786</v>
      </c>
      <c r="C22" s="21" t="n">
        <f aca="false">C21*2*C17</f>
        <v>2232.00446400893</v>
      </c>
      <c r="D22" s="11" t="s">
        <v>78</v>
      </c>
    </row>
    <row r="23" customFormat="false" ht="15" hidden="false" customHeight="false" outlineLevel="0" collapsed="false">
      <c r="A23" s="11" t="s">
        <v>98</v>
      </c>
      <c r="B23" s="23" t="n">
        <f aca="false">(2/3)*(((B18/2)^3-((B18/2)-B19)^3)/((B18/2)^2-((B18/2)-B19)^2))/1000</f>
        <v>0.0772941176470588</v>
      </c>
      <c r="C23" s="23" t="n">
        <f aca="false">(2/3)*(((C18/2)^3-((C18/2)-C19)^3)/((C18/2)^2-((C18/2)-C19)^2))/1000</f>
        <v>0.0772941176470588</v>
      </c>
      <c r="D23" s="11" t="s">
        <v>99</v>
      </c>
    </row>
    <row r="24" customFormat="false" ht="15" hidden="false" customHeight="false" outlineLevel="0" collapsed="false">
      <c r="A24" s="24" t="s">
        <v>100</v>
      </c>
      <c r="B24" s="25" t="n">
        <f aca="false">B22*B23</f>
        <v>345.041631259733</v>
      </c>
      <c r="C24" s="25" t="n">
        <f aca="false">C22*C23</f>
        <v>172.520815629867</v>
      </c>
      <c r="D24" s="11" t="s">
        <v>101</v>
      </c>
    </row>
    <row r="25" customFormat="false" ht="15" hidden="false" customHeight="false" outlineLevel="0" collapsed="false">
      <c r="A25" s="24" t="s">
        <v>102</v>
      </c>
      <c r="B25" s="26" t="n">
        <f aca="false">B24/(B24+C24)</f>
        <v>0.666666666666667</v>
      </c>
      <c r="D25" s="11" t="s">
        <v>103</v>
      </c>
    </row>
    <row r="27" customFormat="false" ht="16.5" hidden="false" customHeight="true" outlineLevel="0" collapsed="false">
      <c r="A27" s="3" t="s">
        <v>104</v>
      </c>
      <c r="B27" s="3"/>
      <c r="C27" s="3"/>
      <c r="D27" s="3"/>
    </row>
    <row r="28" customFormat="false" ht="15" hidden="false" customHeight="false" outlineLevel="0" collapsed="false">
      <c r="A28" s="11" t="s">
        <v>105</v>
      </c>
      <c r="B28" s="27" t="n">
        <f aca="false">FromMaster!B7</f>
        <v>0.456867057673509</v>
      </c>
      <c r="D28" s="11" t="s">
        <v>29</v>
      </c>
    </row>
    <row r="29" customFormat="false" ht="15" hidden="false" customHeight="false" outlineLevel="0" collapsed="false">
      <c r="A29" s="11" t="s">
        <v>106</v>
      </c>
      <c r="B29" s="18" t="n">
        <f aca="false">FromMaster!B8</f>
        <v>263.409090909091</v>
      </c>
      <c r="D29" s="11" t="s">
        <v>32</v>
      </c>
    </row>
    <row r="30" customFormat="false" ht="15" hidden="false" customHeight="false" outlineLevel="0" collapsed="false">
      <c r="A30" s="11" t="s">
        <v>107</v>
      </c>
      <c r="B30" s="18" t="n">
        <f aca="false">FromMaster!B9</f>
        <v>1550</v>
      </c>
      <c r="D30" s="11" t="s">
        <v>32</v>
      </c>
    </row>
    <row r="31" customFormat="false" ht="15" hidden="false" customHeight="false" outlineLevel="0" collapsed="false">
      <c r="A31" s="11" t="s">
        <v>108</v>
      </c>
      <c r="B31" s="19" t="n">
        <f aca="false">FromMaster!B12</f>
        <v>1.5</v>
      </c>
      <c r="D31" s="11" t="s">
        <v>29</v>
      </c>
    </row>
    <row r="32" customFormat="false" ht="15" hidden="false" customHeight="false" outlineLevel="0" collapsed="false">
      <c r="A32" s="24" t="s">
        <v>109</v>
      </c>
      <c r="B32" s="26" t="n">
        <f aca="false">B28+B31*(B29/B30)</f>
        <v>0.71177908113392</v>
      </c>
      <c r="D32" s="11" t="s">
        <v>110</v>
      </c>
    </row>
    <row r="34" customFormat="false" ht="25.5" hidden="false" customHeight="true" outlineLevel="0" collapsed="false">
      <c r="A34" s="10" t="s">
        <v>111</v>
      </c>
      <c r="B34" s="10" t="s">
        <v>112</v>
      </c>
      <c r="C34" s="10" t="s">
        <v>113</v>
      </c>
      <c r="D34" s="10" t="s">
        <v>51</v>
      </c>
    </row>
    <row r="35" customFormat="false" ht="15" hidden="false" customHeight="false" outlineLevel="0" collapsed="false">
      <c r="A35" s="12" t="n">
        <v>0.4</v>
      </c>
      <c r="B35" s="28" t="n">
        <f aca="false">B28+A35*(B29/B30)</f>
        <v>0.524843597262952</v>
      </c>
      <c r="C35" s="28" t="n">
        <f aca="false">B28+A35*(B29/B30)</f>
        <v>0.524843597262952</v>
      </c>
      <c r="D35" s="11" t="s">
        <v>114</v>
      </c>
    </row>
    <row r="36" customFormat="false" ht="15" hidden="false" customHeight="false" outlineLevel="0" collapsed="false">
      <c r="A36" s="12" t="n">
        <v>0.6</v>
      </c>
      <c r="B36" s="28" t="n">
        <f aca="false">B28+A36*(B29/B30)</f>
        <v>0.558831867057673</v>
      </c>
      <c r="C36" s="28" t="n">
        <f aca="false">B28+A36*(B29/B30)</f>
        <v>0.558831867057673</v>
      </c>
      <c r="D36" s="11" t="s">
        <v>114</v>
      </c>
    </row>
    <row r="37" customFormat="false" ht="15" hidden="false" customHeight="false" outlineLevel="0" collapsed="false">
      <c r="A37" s="12" t="n">
        <v>0.8</v>
      </c>
      <c r="B37" s="28" t="n">
        <f aca="false">B28+A37*(B29/B30)</f>
        <v>0.592820136852395</v>
      </c>
      <c r="C37" s="28" t="n">
        <f aca="false">B28+A37*(B29/B30)</f>
        <v>0.592820136852395</v>
      </c>
      <c r="D37" s="11" t="s">
        <v>114</v>
      </c>
    </row>
    <row r="38" customFormat="false" ht="15" hidden="false" customHeight="false" outlineLevel="0" collapsed="false">
      <c r="A38" s="12" t="n">
        <v>1</v>
      </c>
      <c r="B38" s="28" t="n">
        <f aca="false">B28+A38*(B29/B30)</f>
        <v>0.626808406647116</v>
      </c>
      <c r="C38" s="28" t="n">
        <f aca="false">B28+A38*(B29/B30)</f>
        <v>0.626808406647116</v>
      </c>
      <c r="D38" s="11" t="s">
        <v>114</v>
      </c>
    </row>
    <row r="39" customFormat="false" ht="15" hidden="false" customHeight="false" outlineLevel="0" collapsed="false">
      <c r="A39" s="12" t="n">
        <v>1.2</v>
      </c>
      <c r="B39" s="28" t="n">
        <f aca="false">B28+A39*(B29/B30)</f>
        <v>0.660796676441838</v>
      </c>
      <c r="C39" s="28" t="n">
        <f aca="false">B28+A39*(B29/B30)</f>
        <v>0.660796676441838</v>
      </c>
      <c r="D39" s="11" t="s">
        <v>114</v>
      </c>
    </row>
    <row r="40" customFormat="false" ht="15" hidden="false" customHeight="false" outlineLevel="0" collapsed="false">
      <c r="A40" s="12" t="n">
        <v>1.4</v>
      </c>
      <c r="B40" s="28" t="n">
        <f aca="false">B28+A40*(B29/B30)</f>
        <v>0.694784946236559</v>
      </c>
      <c r="C40" s="28" t="n">
        <f aca="false">B28+A40*(B29/B30)</f>
        <v>0.694784946236559</v>
      </c>
      <c r="D40" s="11" t="s">
        <v>114</v>
      </c>
    </row>
  </sheetData>
  <mergeCells count="5">
    <mergeCell ref="A1:D1"/>
    <mergeCell ref="A2:D2"/>
    <mergeCell ref="A5:D5"/>
    <mergeCell ref="A14:D14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24" hidden="false" customHeight="true" outlineLevel="0" collapsed="false">
      <c r="A1" s="1" t="s">
        <v>115</v>
      </c>
      <c r="B1" s="1"/>
      <c r="C1" s="1"/>
      <c r="D1" s="1"/>
    </row>
    <row r="2" customFormat="false" ht="15" hidden="false" customHeight="false" outlineLevel="0" collapsed="false">
      <c r="A2" s="2" t="s">
        <v>116</v>
      </c>
      <c r="B2" s="2"/>
      <c r="C2" s="2"/>
      <c r="D2" s="2"/>
    </row>
    <row r="4" customFormat="false" ht="25.5" hidden="false" customHeight="true" outlineLevel="0" collapsed="false">
      <c r="A4" s="10" t="s">
        <v>117</v>
      </c>
      <c r="B4" s="10" t="s">
        <v>50</v>
      </c>
      <c r="C4" s="10" t="s">
        <v>23</v>
      </c>
      <c r="D4" s="10" t="s">
        <v>51</v>
      </c>
    </row>
    <row r="5" customFormat="false" ht="15" hidden="false" customHeight="false" outlineLevel="0" collapsed="false">
      <c r="A5" s="11" t="s">
        <v>118</v>
      </c>
      <c r="B5" s="12" t="n">
        <v>50</v>
      </c>
      <c r="C5" s="11" t="s">
        <v>32</v>
      </c>
    </row>
    <row r="6" customFormat="false" ht="15" hidden="false" customHeight="false" outlineLevel="0" collapsed="false">
      <c r="A6" s="11" t="s">
        <v>119</v>
      </c>
      <c r="B6" s="12" t="n">
        <v>3000</v>
      </c>
      <c r="C6" s="11" t="s">
        <v>32</v>
      </c>
    </row>
    <row r="7" customFormat="false" ht="15" hidden="false" customHeight="false" outlineLevel="0" collapsed="false">
      <c r="A7" s="11" t="s">
        <v>120</v>
      </c>
      <c r="B7" s="12" t="n">
        <v>20</v>
      </c>
      <c r="C7" s="11" t="s">
        <v>32</v>
      </c>
    </row>
    <row r="8" customFormat="false" ht="15" hidden="false" customHeight="false" outlineLevel="0" collapsed="false">
      <c r="A8" s="11" t="s">
        <v>121</v>
      </c>
      <c r="B8" s="12" t="n">
        <v>6</v>
      </c>
      <c r="C8" s="11" t="s">
        <v>54</v>
      </c>
    </row>
    <row r="9" customFormat="false" ht="15" hidden="false" customHeight="false" outlineLevel="0" collapsed="false">
      <c r="A9" s="11" t="s">
        <v>122</v>
      </c>
      <c r="B9" s="12" t="n">
        <v>5</v>
      </c>
      <c r="C9" s="11" t="s">
        <v>54</v>
      </c>
    </row>
    <row r="10" customFormat="false" ht="15" hidden="false" customHeight="false" outlineLevel="0" collapsed="false">
      <c r="A10" s="11" t="s">
        <v>123</v>
      </c>
      <c r="B10" s="12" t="n">
        <v>25</v>
      </c>
      <c r="C10" s="11" t="s">
        <v>32</v>
      </c>
    </row>
    <row r="11" customFormat="false" ht="15" hidden="false" customHeight="false" outlineLevel="0" collapsed="false">
      <c r="A11" s="11" t="s">
        <v>124</v>
      </c>
      <c r="B11" s="12" t="n">
        <v>135</v>
      </c>
      <c r="C11" s="11" t="s">
        <v>32</v>
      </c>
    </row>
    <row r="12" customFormat="false" ht="15" hidden="false" customHeight="false" outlineLevel="0" collapsed="false">
      <c r="A12" s="11" t="s">
        <v>125</v>
      </c>
      <c r="B12" s="12" t="n">
        <v>365</v>
      </c>
      <c r="C12" s="11" t="s">
        <v>32</v>
      </c>
    </row>
    <row r="13" customFormat="false" ht="15" hidden="false" customHeight="false" outlineLevel="0" collapsed="false">
      <c r="A13" s="11" t="s">
        <v>126</v>
      </c>
      <c r="B13" s="12" t="n">
        <v>493</v>
      </c>
      <c r="C13" s="11" t="s">
        <v>32</v>
      </c>
    </row>
    <row r="14" customFormat="false" ht="15" hidden="false" customHeight="false" outlineLevel="0" collapsed="false">
      <c r="A14" s="11" t="s">
        <v>127</v>
      </c>
      <c r="B14" s="12" t="n">
        <v>360</v>
      </c>
      <c r="C14" s="11" t="s">
        <v>32</v>
      </c>
    </row>
    <row r="15" customFormat="false" ht="15" hidden="false" customHeight="false" outlineLevel="0" collapsed="false">
      <c r="A15" s="11" t="s">
        <v>128</v>
      </c>
      <c r="B15" s="23" t="n">
        <f aca="false">RADIANS(90-B9)</f>
        <v>1.48352986419518</v>
      </c>
      <c r="C15" s="11" t="s">
        <v>129</v>
      </c>
    </row>
    <row r="16" customFormat="false" ht="15" hidden="false" customHeight="false" outlineLevel="0" collapsed="false">
      <c r="A16" s="11" t="s">
        <v>130</v>
      </c>
      <c r="B16" s="23" t="n">
        <f aca="false">RADIANS(B8)</f>
        <v>0.10471975511966</v>
      </c>
      <c r="C16" s="11" t="s">
        <v>129</v>
      </c>
    </row>
    <row r="17" customFormat="false" ht="15" hidden="false" customHeight="false" outlineLevel="0" collapsed="false">
      <c r="A17" s="11" t="s">
        <v>131</v>
      </c>
      <c r="B17" s="21" t="n">
        <f aca="false">B5</f>
        <v>50</v>
      </c>
      <c r="C17" s="11" t="s">
        <v>32</v>
      </c>
      <c r="D17" s="11" t="s">
        <v>132</v>
      </c>
    </row>
    <row r="19" customFormat="false" ht="16.5" hidden="false" customHeight="true" outlineLevel="0" collapsed="false">
      <c r="A19" s="3" t="s">
        <v>133</v>
      </c>
      <c r="B19" s="3"/>
      <c r="C19" s="3"/>
      <c r="D19" s="3"/>
    </row>
    <row r="20" customFormat="false" ht="25.5" hidden="false" customHeight="true" outlineLevel="0" collapsed="false">
      <c r="A20" s="10" t="s">
        <v>134</v>
      </c>
      <c r="B20" s="10" t="s">
        <v>135</v>
      </c>
      <c r="C20" s="10" t="s">
        <v>136</v>
      </c>
      <c r="D20" s="10" t="s">
        <v>137</v>
      </c>
    </row>
    <row r="21" customFormat="false" ht="15" hidden="false" customHeight="false" outlineLevel="0" collapsed="false">
      <c r="A21" s="11" t="s">
        <v>138</v>
      </c>
      <c r="B21" s="12"/>
      <c r="C21" s="12"/>
      <c r="D21" s="12"/>
    </row>
    <row r="22" customFormat="false" ht="15" hidden="false" customHeight="false" outlineLevel="0" collapsed="false">
      <c r="A22" s="11" t="s">
        <v>139</v>
      </c>
      <c r="B22" s="12"/>
      <c r="C22" s="12"/>
      <c r="D22" s="12"/>
    </row>
    <row r="23" customFormat="false" ht="15" hidden="false" customHeight="false" outlineLevel="0" collapsed="false">
      <c r="A23" s="11" t="s">
        <v>140</v>
      </c>
      <c r="B23" s="12"/>
      <c r="C23" s="12"/>
      <c r="D23" s="12"/>
    </row>
    <row r="24" customFormat="false" ht="15" hidden="false" customHeight="false" outlineLevel="0" collapsed="false">
      <c r="A24" s="11" t="s">
        <v>141</v>
      </c>
      <c r="B24" s="12"/>
      <c r="C24" s="12"/>
      <c r="D24" s="12"/>
    </row>
    <row r="25" customFormat="false" ht="15" hidden="false" customHeight="false" outlineLevel="0" collapsed="false">
      <c r="A25" s="11" t="s">
        <v>142</v>
      </c>
      <c r="B25" s="12"/>
      <c r="C25" s="12"/>
      <c r="D25" s="12"/>
    </row>
    <row r="26" customFormat="false" ht="15" hidden="false" customHeight="false" outlineLevel="0" collapsed="false">
      <c r="A26" s="11" t="s">
        <v>143</v>
      </c>
      <c r="B26" s="12"/>
      <c r="C26" s="12"/>
      <c r="D26" s="12"/>
    </row>
    <row r="27" customFormat="false" ht="15" hidden="false" customHeight="false" outlineLevel="0" collapsed="false">
      <c r="A27" s="11" t="s">
        <v>144</v>
      </c>
      <c r="B27" s="12"/>
      <c r="C27" s="12"/>
      <c r="D27" s="12"/>
    </row>
    <row r="28" customFormat="false" ht="15" hidden="false" customHeight="false" outlineLevel="0" collapsed="false">
      <c r="A28" s="11" t="s">
        <v>145</v>
      </c>
      <c r="B28" s="12"/>
      <c r="C28" s="12"/>
      <c r="D28" s="12"/>
    </row>
    <row r="29" customFormat="false" ht="15" hidden="false" customHeight="false" outlineLevel="0" collapsed="false">
      <c r="A29" s="11" t="s">
        <v>146</v>
      </c>
      <c r="B29" s="12"/>
      <c r="C29" s="12"/>
      <c r="D29" s="12"/>
    </row>
    <row r="30" customFormat="false" ht="15" hidden="false" customHeight="false" outlineLevel="0" collapsed="false">
      <c r="A30" s="11" t="s">
        <v>147</v>
      </c>
      <c r="B30" s="12"/>
      <c r="C30" s="12"/>
      <c r="D30" s="12"/>
    </row>
    <row r="31" customFormat="false" ht="15" hidden="false" customHeight="false" outlineLevel="0" collapsed="false">
      <c r="A31" s="11" t="s">
        <v>148</v>
      </c>
      <c r="B31" s="12"/>
      <c r="C31" s="12"/>
      <c r="D31" s="12"/>
    </row>
    <row r="32" customFormat="false" ht="15" hidden="false" customHeight="false" outlineLevel="0" collapsed="false">
      <c r="A32" s="11" t="s">
        <v>149</v>
      </c>
      <c r="B32" s="12"/>
      <c r="C32" s="12"/>
      <c r="D32" s="12"/>
    </row>
    <row r="33" customFormat="false" ht="15" hidden="false" customHeight="false" outlineLevel="0" collapsed="false">
      <c r="A33" s="11" t="s">
        <v>150</v>
      </c>
      <c r="B33" s="12"/>
      <c r="C33" s="12"/>
      <c r="D33" s="12"/>
    </row>
    <row r="34" customFormat="false" ht="15" hidden="false" customHeight="false" outlineLevel="0" collapsed="false">
      <c r="A34" s="11" t="s">
        <v>151</v>
      </c>
      <c r="B34" s="12"/>
      <c r="C34" s="12"/>
      <c r="D34" s="12"/>
    </row>
    <row r="35" customFormat="false" ht="15" hidden="false" customHeight="false" outlineLevel="0" collapsed="false">
      <c r="A35" s="11" t="s">
        <v>152</v>
      </c>
      <c r="B35" s="12"/>
      <c r="C35" s="12"/>
      <c r="D35" s="12"/>
    </row>
  </sheetData>
  <mergeCells count="3">
    <mergeCell ref="A1:D1"/>
    <mergeCell ref="A2:D2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24" hidden="false" customHeight="true" outlineLevel="0" collapsed="false">
      <c r="A1" s="1" t="s">
        <v>153</v>
      </c>
      <c r="B1" s="1"/>
      <c r="C1" s="1"/>
      <c r="D1" s="1"/>
    </row>
    <row r="2" customFormat="false" ht="15" hidden="false" customHeight="false" outlineLevel="0" collapsed="false">
      <c r="A2" s="2" t="s">
        <v>154</v>
      </c>
      <c r="B2" s="2"/>
      <c r="C2" s="2"/>
      <c r="D2" s="2"/>
    </row>
    <row r="4" customFormat="false" ht="25.5" hidden="false" customHeight="true" outlineLevel="0" collapsed="false">
      <c r="A4" s="10" t="s">
        <v>21</v>
      </c>
      <c r="B4" s="10" t="s">
        <v>74</v>
      </c>
      <c r="C4" s="10" t="s">
        <v>75</v>
      </c>
      <c r="D4" s="10" t="s">
        <v>23</v>
      </c>
    </row>
    <row r="5" customFormat="false" ht="15" hidden="false" customHeight="false" outlineLevel="0" collapsed="false">
      <c r="A5" s="11" t="s">
        <v>155</v>
      </c>
      <c r="B5" s="29" t="n">
        <f aca="false">FromMaster!B6</f>
        <v>264</v>
      </c>
      <c r="D5" s="11" t="s">
        <v>26</v>
      </c>
    </row>
    <row r="6" customFormat="false" ht="15" hidden="false" customHeight="false" outlineLevel="0" collapsed="false">
      <c r="A6" s="11" t="s">
        <v>156</v>
      </c>
      <c r="B6" s="27" t="n">
        <f aca="false">FromMaster!B7</f>
        <v>0.456867057673509</v>
      </c>
      <c r="D6" s="11" t="s">
        <v>29</v>
      </c>
    </row>
    <row r="7" customFormat="false" ht="15" hidden="false" customHeight="false" outlineLevel="0" collapsed="false">
      <c r="A7" s="11" t="s">
        <v>45</v>
      </c>
      <c r="B7" s="16" t="n">
        <v>0.7</v>
      </c>
      <c r="C7" s="16" t="n">
        <v>0.7</v>
      </c>
      <c r="D7" s="11" t="s">
        <v>29</v>
      </c>
    </row>
    <row r="8" customFormat="false" ht="15" hidden="false" customHeight="false" outlineLevel="0" collapsed="false">
      <c r="A8" s="11" t="s">
        <v>157</v>
      </c>
      <c r="B8" s="12" t="n">
        <v>12</v>
      </c>
      <c r="C8" s="12" t="n">
        <v>12</v>
      </c>
      <c r="D8" s="11" t="s">
        <v>26</v>
      </c>
    </row>
    <row r="9" customFormat="false" ht="15" hidden="false" customHeight="false" outlineLevel="0" collapsed="false">
      <c r="A9" s="11" t="s">
        <v>158</v>
      </c>
      <c r="B9" s="16" t="n">
        <v>2.8</v>
      </c>
      <c r="C9" s="16" t="n">
        <v>3</v>
      </c>
      <c r="D9" s="11" t="s">
        <v>159</v>
      </c>
    </row>
    <row r="10" customFormat="false" ht="15" hidden="false" customHeight="false" outlineLevel="0" collapsed="false">
      <c r="A10" s="11" t="s">
        <v>160</v>
      </c>
      <c r="B10" s="30" t="n">
        <f aca="false">B5*B6/2-B8</f>
        <v>48.3064516129032</v>
      </c>
      <c r="C10" s="30" t="n">
        <f aca="false">B5*(1-B6)/2-C8</f>
        <v>59.6935483870968</v>
      </c>
      <c r="D10" s="11" t="s">
        <v>26</v>
      </c>
    </row>
    <row r="11" customFormat="false" ht="15" hidden="false" customHeight="false" outlineLevel="0" collapsed="false">
      <c r="A11" s="11" t="s">
        <v>161</v>
      </c>
      <c r="B11" s="30" t="n">
        <f aca="false">(2*PI()*B9)^2*B10/1000</f>
        <v>14.9513681949096</v>
      </c>
      <c r="C11" s="30" t="n">
        <f aca="false">(2*PI()*C9)^2*C10/1000</f>
        <v>21.2094614836055</v>
      </c>
      <c r="D11" s="11" t="s">
        <v>162</v>
      </c>
    </row>
    <row r="12" customFormat="false" ht="15" hidden="false" customHeight="false" outlineLevel="0" collapsed="false">
      <c r="A12" s="24" t="s">
        <v>163</v>
      </c>
      <c r="B12" s="31" t="n">
        <f aca="false">B11/B7^2</f>
        <v>30.512996316142</v>
      </c>
      <c r="C12" s="31" t="n">
        <f aca="false">C11/C7^2</f>
        <v>43.2846152726644</v>
      </c>
      <c r="D12" s="11" t="s">
        <v>162</v>
      </c>
    </row>
    <row r="13" customFormat="false" ht="15" hidden="false" customHeight="false" outlineLevel="0" collapsed="false">
      <c r="A13" s="11" t="s">
        <v>164</v>
      </c>
      <c r="B13" s="15"/>
      <c r="C13" s="15"/>
      <c r="D13" s="11" t="s">
        <v>162</v>
      </c>
    </row>
    <row r="14" customFormat="false" ht="15" hidden="false" customHeight="false" outlineLevel="0" collapsed="false">
      <c r="A14" s="11" t="s">
        <v>165</v>
      </c>
      <c r="B14" s="32" t="n">
        <f aca="false">IFERROR(SQRT(B13*B7^2/B10*1000)/(2*PI()),"")</f>
        <v>0</v>
      </c>
      <c r="C14" s="32" t="n">
        <f aca="false">IFERROR(SQRT(C13*C7^2/C10*1000)/(2*PI()),"")</f>
        <v>0</v>
      </c>
      <c r="D14" s="11" t="s">
        <v>159</v>
      </c>
    </row>
    <row r="16" customFormat="false" ht="16.5" hidden="false" customHeight="true" outlineLevel="0" collapsed="false">
      <c r="A16" s="3" t="s">
        <v>166</v>
      </c>
      <c r="B16" s="3"/>
      <c r="C16" s="3"/>
      <c r="D16" s="3"/>
    </row>
    <row r="17" customFormat="false" ht="15" hidden="false" customHeight="false" outlineLevel="0" collapsed="false">
      <c r="A17" s="11" t="s">
        <v>167</v>
      </c>
      <c r="B17" s="15" t="n">
        <v>30</v>
      </c>
      <c r="C17" s="15" t="n">
        <v>25</v>
      </c>
      <c r="D17" s="11" t="s">
        <v>32</v>
      </c>
    </row>
    <row r="18" customFormat="false" ht="15" hidden="false" customHeight="false" outlineLevel="0" collapsed="false">
      <c r="A18" s="11" t="s">
        <v>168</v>
      </c>
      <c r="B18" s="15" t="n">
        <v>25</v>
      </c>
      <c r="C18" s="15" t="n">
        <v>25</v>
      </c>
      <c r="D18" s="11" t="s">
        <v>32</v>
      </c>
    </row>
    <row r="19" customFormat="false" ht="15" hidden="false" customHeight="false" outlineLevel="0" collapsed="false">
      <c r="A19" s="11" t="s">
        <v>169</v>
      </c>
      <c r="B19" s="30" t="n">
        <f aca="false">(B17+B18)*B7</f>
        <v>38.5</v>
      </c>
      <c r="C19" s="30" t="n">
        <f aca="false">(C17+C18)*C7</f>
        <v>35</v>
      </c>
      <c r="D19" s="11" t="s">
        <v>32</v>
      </c>
    </row>
    <row r="20" customFormat="false" ht="15" hidden="false" customHeight="false" outlineLevel="0" collapsed="false">
      <c r="A20" s="11" t="s">
        <v>170</v>
      </c>
      <c r="B20" s="16" t="n">
        <v>0.65</v>
      </c>
      <c r="C20" s="16" t="n">
        <v>0.65</v>
      </c>
      <c r="D20" s="11" t="s">
        <v>29</v>
      </c>
    </row>
    <row r="21" customFormat="false" ht="15" hidden="false" customHeight="false" outlineLevel="0" collapsed="false">
      <c r="A21" s="11" t="s">
        <v>171</v>
      </c>
      <c r="B21" s="21" t="n">
        <f aca="false">2*SQRT(B11*1000*B10)</f>
        <v>1699.70296729058</v>
      </c>
      <c r="C21" s="21" t="n">
        <f aca="false">2*SQRT(C11*1000*C10)</f>
        <v>2250.39375695532</v>
      </c>
      <c r="D21" s="11" t="s">
        <v>172</v>
      </c>
    </row>
    <row r="22" customFormat="false" ht="15" hidden="false" customHeight="false" outlineLevel="0" collapsed="false">
      <c r="A22" s="11" t="s">
        <v>173</v>
      </c>
      <c r="B22" s="21" t="n">
        <f aca="false">B20*B21</f>
        <v>1104.80692873888</v>
      </c>
      <c r="C22" s="21" t="n">
        <f aca="false">C20*C21</f>
        <v>1462.75594202096</v>
      </c>
      <c r="D22" s="11" t="s">
        <v>172</v>
      </c>
    </row>
  </sheetData>
  <mergeCells count="3">
    <mergeCell ref="A1:D1"/>
    <mergeCell ref="A2:D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24" hidden="false" customHeight="true" outlineLevel="0" collapsed="false">
      <c r="A1" s="1" t="s">
        <v>174</v>
      </c>
      <c r="B1" s="1"/>
      <c r="C1" s="1"/>
      <c r="D1" s="1"/>
    </row>
    <row r="2" customFormat="false" ht="15" hidden="false" customHeight="false" outlineLevel="0" collapsed="false">
      <c r="A2" s="2" t="s">
        <v>175</v>
      </c>
      <c r="B2" s="2"/>
      <c r="C2" s="2"/>
      <c r="D2" s="2"/>
    </row>
    <row r="4" customFormat="false" ht="25.5" hidden="false" customHeight="true" outlineLevel="0" collapsed="false">
      <c r="A4" s="10" t="s">
        <v>21</v>
      </c>
      <c r="B4" s="10" t="s">
        <v>74</v>
      </c>
      <c r="C4" s="10" t="s">
        <v>75</v>
      </c>
      <c r="D4" s="10" t="s">
        <v>23</v>
      </c>
    </row>
    <row r="5" customFormat="false" ht="15" hidden="false" customHeight="false" outlineLevel="0" collapsed="false">
      <c r="A5" s="11" t="s">
        <v>155</v>
      </c>
      <c r="B5" s="29" t="n">
        <f aca="false">FromMaster!B6</f>
        <v>264</v>
      </c>
      <c r="D5" s="11" t="s">
        <v>26</v>
      </c>
    </row>
    <row r="6" customFormat="false" ht="15" hidden="false" customHeight="false" outlineLevel="0" collapsed="false">
      <c r="A6" s="11" t="s">
        <v>156</v>
      </c>
      <c r="B6" s="27" t="n">
        <f aca="false">FromMaster!B7</f>
        <v>0.456867057673509</v>
      </c>
      <c r="D6" s="11" t="s">
        <v>29</v>
      </c>
    </row>
    <row r="7" customFormat="false" ht="15" hidden="false" customHeight="false" outlineLevel="0" collapsed="false">
      <c r="A7" s="11" t="s">
        <v>176</v>
      </c>
      <c r="B7" s="12" t="n">
        <v>3</v>
      </c>
      <c r="C7" s="12" t="n">
        <v>3</v>
      </c>
      <c r="D7" s="11" t="s">
        <v>29</v>
      </c>
    </row>
    <row r="8" customFormat="false" ht="15" hidden="false" customHeight="false" outlineLevel="0" collapsed="false">
      <c r="A8" s="11" t="s">
        <v>177</v>
      </c>
      <c r="B8" s="15" t="n">
        <v>50</v>
      </c>
      <c r="C8" s="15" t="n">
        <v>50</v>
      </c>
      <c r="D8" s="11" t="s">
        <v>78</v>
      </c>
    </row>
    <row r="9" customFormat="false" ht="15" hidden="false" customHeight="false" outlineLevel="0" collapsed="false">
      <c r="A9" s="11" t="s">
        <v>178</v>
      </c>
      <c r="B9" s="21" t="n">
        <f aca="false">B5*9.81*B6/2</f>
        <v>591.60629032258</v>
      </c>
      <c r="C9" s="21" t="n">
        <f aca="false">B5*9.81*(1-B6)/2</f>
        <v>703.31370967742</v>
      </c>
      <c r="D9" s="11" t="s">
        <v>78</v>
      </c>
    </row>
    <row r="10" customFormat="false" ht="15" hidden="false" customHeight="false" outlineLevel="0" collapsed="false">
      <c r="A10" s="24" t="s">
        <v>179</v>
      </c>
      <c r="B10" s="31" t="n">
        <f aca="false">B9*B7+B8</f>
        <v>1824.81887096774</v>
      </c>
      <c r="C10" s="31" t="n">
        <f aca="false">C9*C7+C8</f>
        <v>2159.94112903226</v>
      </c>
      <c r="D10" s="11" t="s">
        <v>78</v>
      </c>
    </row>
    <row r="11" customFormat="false" ht="15" hidden="false" customHeight="false" outlineLevel="0" collapsed="false">
      <c r="A11" s="11" t="s">
        <v>180</v>
      </c>
      <c r="B11" s="12" t="n">
        <v>45</v>
      </c>
      <c r="C11" s="12" t="n">
        <v>45</v>
      </c>
      <c r="D11" s="11" t="s">
        <v>54</v>
      </c>
    </row>
    <row r="12" customFormat="false" ht="15" hidden="false" customHeight="false" outlineLevel="0" collapsed="false">
      <c r="A12" s="11" t="s">
        <v>181</v>
      </c>
      <c r="B12" s="21" t="n">
        <f aca="false">B10/SIN(RADIANS(B11))</f>
        <v>2580.68359619694</v>
      </c>
      <c r="C12" s="21" t="n">
        <f aca="false">C10/SIN(RADIANS(C11))</f>
        <v>3054.61803860488</v>
      </c>
      <c r="D12" s="11" t="s">
        <v>78</v>
      </c>
    </row>
    <row r="14" customFormat="false" ht="16.5" hidden="false" customHeight="true" outlineLevel="0" collapsed="false">
      <c r="A14" s="3" t="s">
        <v>182</v>
      </c>
      <c r="B14" s="3"/>
      <c r="C14" s="3"/>
      <c r="D14" s="3"/>
    </row>
    <row r="15" customFormat="false" ht="15" hidden="false" customHeight="false" outlineLevel="0" collapsed="false">
      <c r="A15" s="11" t="s">
        <v>183</v>
      </c>
      <c r="B15" s="12" t="n">
        <v>8</v>
      </c>
      <c r="C15" s="12" t="n">
        <v>6</v>
      </c>
      <c r="D15" s="11" t="s">
        <v>54</v>
      </c>
    </row>
    <row r="16" customFormat="false" ht="15" hidden="false" customHeight="false" outlineLevel="0" collapsed="false">
      <c r="A16" s="11" t="s">
        <v>184</v>
      </c>
      <c r="B16" s="14" t="n">
        <v>0.65</v>
      </c>
      <c r="C16" s="14" t="n">
        <v>1</v>
      </c>
      <c r="D16" s="11" t="s">
        <v>29</v>
      </c>
    </row>
    <row r="17" customFormat="false" ht="15" hidden="false" customHeight="false" outlineLevel="0" collapsed="false">
      <c r="A17" s="11" t="s">
        <v>107</v>
      </c>
      <c r="B17" s="18" t="n">
        <f aca="false">FromMaster!B9</f>
        <v>1550</v>
      </c>
      <c r="D17" s="11" t="s">
        <v>32</v>
      </c>
    </row>
    <row r="18" customFormat="false" ht="15" hidden="false" customHeight="false" outlineLevel="0" collapsed="false">
      <c r="A18" s="11" t="s">
        <v>106</v>
      </c>
      <c r="B18" s="18" t="n">
        <f aca="false">FromMaster!B8</f>
        <v>263.409090909091</v>
      </c>
      <c r="D18" s="11" t="s">
        <v>32</v>
      </c>
    </row>
    <row r="19" customFormat="false" ht="15" hidden="false" customHeight="false" outlineLevel="0" collapsed="false">
      <c r="A19" s="24" t="s">
        <v>185</v>
      </c>
      <c r="B19" s="33" t="n">
        <f aca="false">B16*TAN(RADIANS(B15))*B17/B18</f>
        <v>0.537547472161951</v>
      </c>
      <c r="C19" s="33" t="n">
        <f aca="false">C16*TAN(RADIANS(C15))*B17/B18</f>
        <v>0.61847358456593</v>
      </c>
      <c r="D19" s="11" t="s">
        <v>186</v>
      </c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30"/>
  </cols>
  <sheetData>
    <row r="1" customFormat="false" ht="24" hidden="false" customHeight="true" outlineLevel="0" collapsed="false">
      <c r="A1" s="1" t="s">
        <v>187</v>
      </c>
      <c r="B1" s="1"/>
      <c r="C1" s="1"/>
      <c r="D1" s="1"/>
    </row>
    <row r="2" customFormat="false" ht="15" hidden="false" customHeight="false" outlineLevel="0" collapsed="false">
      <c r="A2" s="2" t="s">
        <v>188</v>
      </c>
      <c r="B2" s="2"/>
      <c r="C2" s="2"/>
      <c r="D2" s="2"/>
    </row>
    <row r="4" customFormat="false" ht="25.5" hidden="false" customHeight="true" outlineLevel="0" collapsed="false">
      <c r="A4" s="10" t="s">
        <v>21</v>
      </c>
      <c r="B4" s="10" t="s">
        <v>50</v>
      </c>
      <c r="C4" s="10" t="s">
        <v>23</v>
      </c>
      <c r="D4" s="10" t="s">
        <v>51</v>
      </c>
    </row>
    <row r="5" customFormat="false" ht="15" hidden="false" customHeight="false" outlineLevel="0" collapsed="false">
      <c r="A5" s="11" t="s">
        <v>107</v>
      </c>
      <c r="B5" s="18" t="n">
        <f aca="false">FromMaster!B9</f>
        <v>1550</v>
      </c>
      <c r="C5" s="11" t="s">
        <v>32</v>
      </c>
    </row>
    <row r="6" customFormat="false" ht="15" hidden="false" customHeight="false" outlineLevel="0" collapsed="false">
      <c r="A6" s="11" t="s">
        <v>189</v>
      </c>
      <c r="B6" s="18" t="n">
        <f aca="false">FromMaster!B10</f>
        <v>1200</v>
      </c>
      <c r="C6" s="11" t="s">
        <v>32</v>
      </c>
    </row>
    <row r="7" customFormat="false" ht="15" hidden="false" customHeight="false" outlineLevel="0" collapsed="false">
      <c r="A7" s="11" t="s">
        <v>190</v>
      </c>
      <c r="B7" s="15" t="n">
        <v>1100</v>
      </c>
      <c r="C7" s="11" t="s">
        <v>32</v>
      </c>
    </row>
    <row r="8" customFormat="false" ht="15" hidden="false" customHeight="false" outlineLevel="0" collapsed="false">
      <c r="A8" s="11" t="s">
        <v>191</v>
      </c>
      <c r="B8" s="15" t="n">
        <v>90</v>
      </c>
      <c r="C8" s="11" t="s">
        <v>32</v>
      </c>
    </row>
    <row r="9" customFormat="false" ht="15" hidden="false" customHeight="false" outlineLevel="0" collapsed="false">
      <c r="A9" s="11" t="s">
        <v>192</v>
      </c>
      <c r="B9" s="12" t="n">
        <v>3.5</v>
      </c>
      <c r="C9" s="11" t="s">
        <v>99</v>
      </c>
    </row>
    <row r="10" customFormat="false" ht="15" hidden="false" customHeight="false" outlineLevel="0" collapsed="false">
      <c r="A10" s="11" t="s">
        <v>193</v>
      </c>
      <c r="B10" s="30" t="n">
        <f aca="false">DEGREES(ATAN(B5/(B9*1000-B6/2))-ATAN(B5/(B9*1000+B6/2)))</f>
        <v>7.41469779163978</v>
      </c>
      <c r="C10" s="11" t="s">
        <v>54</v>
      </c>
      <c r="D10" s="17" t="s">
        <v>194</v>
      </c>
    </row>
    <row r="11" customFormat="false" ht="15" hidden="false" customHeight="false" outlineLevel="0" collapsed="false">
      <c r="A11" s="11" t="s">
        <v>195</v>
      </c>
      <c r="B11" s="15" t="n">
        <v>120</v>
      </c>
      <c r="C11" s="11" t="s">
        <v>32</v>
      </c>
    </row>
    <row r="12" customFormat="false" ht="15" hidden="false" customHeight="false" outlineLevel="0" collapsed="false">
      <c r="A12" s="11" t="s">
        <v>196</v>
      </c>
      <c r="B12" s="12" t="n">
        <v>1.5</v>
      </c>
      <c r="C12" s="11" t="s">
        <v>29</v>
      </c>
    </row>
    <row r="14" customFormat="false" ht="16.5" hidden="false" customHeight="true" outlineLevel="0" collapsed="false">
      <c r="A14" s="3" t="s">
        <v>197</v>
      </c>
      <c r="B14" s="3"/>
      <c r="C14" s="3"/>
      <c r="D14" s="3"/>
    </row>
    <row r="15" customFormat="false" ht="25.5" hidden="false" customHeight="true" outlineLevel="0" collapsed="false">
      <c r="A15" s="10" t="s">
        <v>198</v>
      </c>
      <c r="B15" s="10" t="s">
        <v>50</v>
      </c>
      <c r="C15" s="10" t="s">
        <v>23</v>
      </c>
      <c r="D15" s="10" t="s">
        <v>199</v>
      </c>
    </row>
    <row r="16" customFormat="false" ht="15" hidden="false" customHeight="false" outlineLevel="0" collapsed="false">
      <c r="A16" s="11" t="s">
        <v>200</v>
      </c>
      <c r="B16" s="15" t="n">
        <v>50</v>
      </c>
      <c r="C16" s="11" t="s">
        <v>32</v>
      </c>
    </row>
    <row r="17" customFormat="false" ht="15" hidden="false" customHeight="false" outlineLevel="0" collapsed="false">
      <c r="A17" s="11" t="s">
        <v>201</v>
      </c>
      <c r="B17" s="15" t="n">
        <v>18</v>
      </c>
      <c r="C17" s="11" t="s">
        <v>29</v>
      </c>
    </row>
    <row r="18" customFormat="false" ht="15" hidden="false" customHeight="false" outlineLevel="0" collapsed="false">
      <c r="A18" s="11" t="s">
        <v>202</v>
      </c>
      <c r="B18" s="23" t="n">
        <f aca="false">B16/B17</f>
        <v>2.77777777777778</v>
      </c>
      <c r="C18" s="11" t="s">
        <v>32</v>
      </c>
    </row>
    <row r="19" customFormat="false" ht="15" hidden="false" customHeight="false" outlineLevel="0" collapsed="false">
      <c r="A19" s="11" t="s">
        <v>203</v>
      </c>
      <c r="B19" s="23" t="n">
        <f aca="false">PI()*B18</f>
        <v>8.72664625997165</v>
      </c>
      <c r="C19" s="11" t="s">
        <v>32</v>
      </c>
    </row>
    <row r="20" customFormat="false" ht="15" hidden="false" customHeight="false" outlineLevel="0" collapsed="false">
      <c r="A20" s="11" t="s">
        <v>204</v>
      </c>
      <c r="B20" s="23" t="n">
        <f aca="false">B16*COS(RADIANS(20))</f>
        <v>46.9846310392954</v>
      </c>
      <c r="C20" s="11" t="s">
        <v>32</v>
      </c>
    </row>
    <row r="21" customFormat="false" ht="15" hidden="false" customHeight="false" outlineLevel="0" collapsed="false">
      <c r="A21" s="11" t="s">
        <v>205</v>
      </c>
      <c r="B21" s="23" t="n">
        <f aca="false">0.8*B18</f>
        <v>2.22222222222222</v>
      </c>
      <c r="C21" s="11" t="s">
        <v>32</v>
      </c>
    </row>
    <row r="22" customFormat="false" ht="15" hidden="false" customHeight="false" outlineLevel="0" collapsed="false">
      <c r="A22" s="11" t="s">
        <v>206</v>
      </c>
      <c r="B22" s="23" t="n">
        <f aca="false">1*B18</f>
        <v>2.77777777777778</v>
      </c>
      <c r="C22" s="11" t="s">
        <v>32</v>
      </c>
    </row>
    <row r="23" customFormat="false" ht="15" hidden="false" customHeight="false" outlineLevel="0" collapsed="false">
      <c r="A23" s="11" t="s">
        <v>207</v>
      </c>
      <c r="B23" s="23" t="n">
        <f aca="false">1.5708*B18</f>
        <v>4.36333333333333</v>
      </c>
      <c r="C23" s="11" t="s">
        <v>32</v>
      </c>
    </row>
    <row r="24" customFormat="false" ht="15" hidden="false" customHeight="false" outlineLevel="0" collapsed="false">
      <c r="A24" s="11" t="s">
        <v>208</v>
      </c>
      <c r="B24" s="30" t="n">
        <f aca="false">PI()*B16</f>
        <v>157.07963267949</v>
      </c>
      <c r="C24" s="11" t="s">
        <v>209</v>
      </c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210</v>
      </c>
      <c r="B1" s="1"/>
      <c r="C1" s="1"/>
      <c r="D1" s="1"/>
    </row>
    <row r="2" customFormat="false" ht="15" hidden="false" customHeight="false" outlineLevel="0" collapsed="false">
      <c r="A2" s="2" t="s">
        <v>211</v>
      </c>
      <c r="B2" s="2"/>
      <c r="C2" s="2"/>
      <c r="D2" s="2"/>
    </row>
    <row r="4" customFormat="false" ht="25.5" hidden="false" customHeight="true" outlineLevel="0" collapsed="false">
      <c r="A4" s="10" t="s">
        <v>212</v>
      </c>
      <c r="B4" s="10" t="s">
        <v>50</v>
      </c>
      <c r="C4" s="10" t="s">
        <v>23</v>
      </c>
      <c r="D4" s="10" t="s">
        <v>213</v>
      </c>
    </row>
    <row r="5" customFormat="false" ht="15" hidden="false" customHeight="false" outlineLevel="0" collapsed="false">
      <c r="A5" s="11" t="s">
        <v>214</v>
      </c>
      <c r="B5" s="16"/>
      <c r="C5" s="11" t="s">
        <v>215</v>
      </c>
      <c r="D5" s="17" t="s">
        <v>216</v>
      </c>
    </row>
    <row r="6" customFormat="false" ht="15" hidden="false" customHeight="false" outlineLevel="0" collapsed="false">
      <c r="A6" s="11" t="s">
        <v>217</v>
      </c>
      <c r="B6" s="16"/>
      <c r="C6" s="11" t="s">
        <v>215</v>
      </c>
      <c r="D6" s="17" t="s">
        <v>216</v>
      </c>
    </row>
    <row r="7" customFormat="false" ht="15" hidden="false" customHeight="false" outlineLevel="0" collapsed="false">
      <c r="A7" s="11" t="s">
        <v>218</v>
      </c>
      <c r="B7" s="16"/>
      <c r="C7" s="11" t="s">
        <v>101</v>
      </c>
      <c r="D7" s="17" t="s">
        <v>219</v>
      </c>
    </row>
    <row r="8" customFormat="false" ht="15" hidden="false" customHeight="false" outlineLevel="0" collapsed="false">
      <c r="A8" s="11" t="s">
        <v>220</v>
      </c>
      <c r="B8" s="16"/>
      <c r="C8" s="11" t="s">
        <v>29</v>
      </c>
      <c r="D8" s="17" t="s">
        <v>219</v>
      </c>
    </row>
    <row r="9" customFormat="false" ht="15" hidden="false" customHeight="false" outlineLevel="0" collapsed="false">
      <c r="A9" s="11" t="s">
        <v>221</v>
      </c>
      <c r="B9" s="16"/>
      <c r="C9" s="11" t="s">
        <v>162</v>
      </c>
      <c r="D9" s="17" t="s">
        <v>222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2026-10-08T15:11:19Z</dcterms:created>
  <dc:creator>openpyxl</dc:creator>
  <dc:description/>
  <dc:language>en-US</dc:language>
  <cp:lastModifiedBy/>
  <dcterms:modified xsi:type="dcterms:W3CDTF">2026-10-08T15:11:20Z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