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ComponentMass" sheetId="4" state="visible" r:id="rId6"/>
    <sheet name="ToMa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Distance between front and rear axles,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The biggest load a frame tube must carry, from the LoadCases tab. 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0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Outer diameter of the frame tube,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Wall thickness of the tube,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Stress the tube material permanently bends at, MPa. Steel ~435; check your grade.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Cross-section metal area of the tube ring = pi/4 x (OD^2 - ID^2).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Stress in the tube = force / section area. Compare to yield.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Yield stress / actual stress. Keep &gt;= 1.5 so the tube won't fail.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The biggest load a frame tube must carry, from the LoadCases tab. 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24</xdr:colOff>
                <xdr:row>5</xdr:row>
                <xdr:rowOff>0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Outer diameter of the frame tube,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Wall thickness of the tube, mm.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Stress the tube material permanently bends at, MPa. Steel ~435; check your grade.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Cross-section metal area of the tube ring = pi/4 x (OD^2 - ID^2).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Stress in the tube = force / section area. Compare to yield.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Yield stress / actual stress. Keep &gt;= 1.5 so the tube won't fail.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18</xdr:rowOff>
              </xdr:from>
              <xdr:to>
                <xdr:col>2</xdr:col>
                <xdr:colOff>24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<sst xmlns="http://schemas.openxmlformats.org/spreadsheetml/2006/main" count="108" uniqueCount="94">
  <si>
    <t xml:space="preserve">CHASSIS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</si>
  <si>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</si>
  <si>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</si>
  <si>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</si>
  <si>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</si>
  <si>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</si>
  <si>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</si>
  <si>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</si>
  <si>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</si>
  <si>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</si>
  <si>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</si>
  <si>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</si>
  <si>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</si>
  <si>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</si>
  <si>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</si>
  <si>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</si>
  <si>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</si>
  <si>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</si>
  <si>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</si>
  <si>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</si>
  <si>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</si>
  <si>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</si>
  <si>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</si>
  <si>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</si>
  <si>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</si>
  <si>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Total mass (with driver)</t>
  </si>
  <si>
    <t xml:space="preserve">kg</t>
  </si>
  <si>
    <t xml:space="preserve">Master!C9</t>
  </si>
  <si>
    <t xml:space="preserve">CoG height</t>
  </si>
  <si>
    <t xml:space="preserve">mm</t>
  </si>
  <si>
    <t xml:space="preserve">Master!C11</t>
  </si>
  <si>
    <t xml:space="preserve">Wheelbase</t>
  </si>
  <si>
    <t xml:space="preserve">Master!C15</t>
  </si>
  <si>
    <t xml:space="preserve">Front track</t>
  </si>
  <si>
    <t xml:space="preserve">Master!C16</t>
  </si>
  <si>
    <t xml:space="preserve">Rear track</t>
  </si>
  <si>
    <t xml:space="preserve">Master!C17</t>
  </si>
  <si>
    <t xml:space="preserve">Front axle static load</t>
  </si>
  <si>
    <t xml:space="preserve">N</t>
  </si>
  <si>
    <t xml:space="preserve">Master!C34</t>
  </si>
  <si>
    <t xml:space="preserve">Rear axle static load</t>
  </si>
  <si>
    <t xml:space="preserve">Master!C35</t>
  </si>
  <si>
    <t xml:space="preserve">CHASSIS — CALCULATIONS</t>
  </si>
  <si>
    <t xml:space="preserve">Starter calculations. Blue cells are inputs; green pull from FromMaster; black are computed.</t>
  </si>
  <si>
    <t xml:space="preserve">Quantity</t>
  </si>
  <si>
    <t xml:space="preserve">Value</t>
  </si>
  <si>
    <t xml:space="preserve">Note</t>
  </si>
  <si>
    <t xml:space="preserve">Design member force (from LoadCases)</t>
  </si>
  <si>
    <t xml:space="preserve">Copy from Master LoadCases design load.</t>
  </si>
  <si>
    <t xml:space="preserve">Tube OD</t>
  </si>
  <si>
    <t xml:space="preserve">Tube wall</t>
  </si>
  <si>
    <t xml:space="preserve">Material yield</t>
  </si>
  <si>
    <t xml:space="preserve">MPa</t>
  </si>
  <si>
    <t xml:space="preserve">Section area</t>
  </si>
  <si>
    <t xml:space="preserve">mm²</t>
  </si>
  <si>
    <t xml:space="preserve">Axial stress</t>
  </si>
  <si>
    <t xml:space="preserve">Factor of safety</t>
  </si>
  <si>
    <t xml:space="preserve">-</t>
  </si>
  <si>
    <t xml:space="preserve">Target ≥ 1.5.</t>
  </si>
  <si>
    <t xml:space="preserve">TORSIONAL STIFFNESS</t>
  </si>
  <si>
    <t xml:space="preserve">Target</t>
  </si>
  <si>
    <t xml:space="preserve">N·m/deg</t>
  </si>
  <si>
    <t xml:space="preserve">Measured (twist test)</t>
  </si>
  <si>
    <t xml:space="preserve">MASS TRACKER — CAD vs MEASURED (per component)</t>
  </si>
  <si>
    <t xml:space="preserve">Log every component's CAD estimate and the measured mass once built. The delta column shows where the car is gaining weight. Roll the totals into the Master MassBudget.</t>
  </si>
  <si>
    <t xml:space="preserve">Component</t>
  </si>
  <si>
    <t xml:space="preserve">CAD unit (kg)</t>
  </si>
  <si>
    <t xml:space="preserve">Qty</t>
  </si>
  <si>
    <t xml:space="preserve">CAD total (kg)</t>
  </si>
  <si>
    <t xml:space="preserve">Measured total (kg)</t>
  </si>
  <si>
    <t xml:space="preserve">Δ (meas−CAD)</t>
  </si>
  <si>
    <t xml:space="preserve">Front upper arm</t>
  </si>
  <si>
    <t xml:space="preserve">Front lower arm</t>
  </si>
  <si>
    <t xml:space="preserve">Rear upper arm</t>
  </si>
  <si>
    <t xml:space="preserve">Rear lower arm</t>
  </si>
  <si>
    <t xml:space="preserve">Pushrod ×corner</t>
  </si>
  <si>
    <t xml:space="preserve">Bell crank</t>
  </si>
  <si>
    <t xml:space="preserve">Damper</t>
  </si>
  <si>
    <t xml:space="preserve">Upright / knuckle</t>
  </si>
  <si>
    <t xml:space="preserve">Wheel hub</t>
  </si>
  <si>
    <t xml:space="preserve">Wheel</t>
  </si>
  <si>
    <t xml:space="preserve">Tyre</t>
  </si>
  <si>
    <t xml:space="preserve">Brake rotor</t>
  </si>
  <si>
    <t xml:space="preserve">Brake caliper</t>
  </si>
  <si>
    <t xml:space="preserve">Fasteners / misc</t>
  </si>
  <si>
    <t xml:space="preserve">TOTAL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</si>
  <si>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</si>
  <si>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</si>
  <si>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</si>
  <si>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Where it goes on the Master</t>
  </si>
  <si>
    <t xml:space="preserve">Chassis mass (as built)</t>
  </si>
  <si>
    <t xml:space="preserve">Master → update MassBudget chassis row</t>
  </si>
  <si>
    <t xml:space="preserve">Torsional stiffness (measured)</t>
  </si>
  <si>
    <t xml:space="preserve">Master → Chassis tab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</si>
</sst>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"/>
    <numFmt numFmtId="168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264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4" t="n">
        <v>263.409090909091</v>
      </c>
      <c r="C7" s="11" t="s">
        <v>29</v>
      </c>
      <c r="D7" s="13" t="s">
        <v>30</v>
      </c>
    </row>
    <row r="8" customFormat="false" ht="15" hidden="false" customHeight="false" outlineLevel="0" collapsed="false">
      <c r="A8" s="11" t="s">
        <v>31</v>
      </c>
      <c r="B8" s="14" t="n">
        <v>1550</v>
      </c>
      <c r="C8" s="11" t="s">
        <v>29</v>
      </c>
      <c r="D8" s="13" t="s">
        <v>32</v>
      </c>
    </row>
    <row r="9" customFormat="false" ht="15" hidden="false" customHeight="false" outlineLevel="0" collapsed="false">
      <c r="A9" s="11" t="s">
        <v>33</v>
      </c>
      <c r="B9" s="14" t="n">
        <v>1200</v>
      </c>
      <c r="C9" s="11" t="s">
        <v>29</v>
      </c>
      <c r="D9" s="13" t="s">
        <v>34</v>
      </c>
    </row>
    <row r="10" customFormat="false" ht="15" hidden="false" customHeight="false" outlineLevel="0" collapsed="false">
      <c r="A10" s="11" t="s">
        <v>35</v>
      </c>
      <c r="B10" s="14" t="n">
        <v>1180</v>
      </c>
      <c r="C10" s="11" t="s">
        <v>29</v>
      </c>
      <c r="D10" s="13" t="s">
        <v>36</v>
      </c>
    </row>
    <row r="11" customFormat="false" ht="15" hidden="false" customHeight="false" outlineLevel="0" collapsed="false">
      <c r="A11" s="11" t="s">
        <v>37</v>
      </c>
      <c r="B11" s="14" t="n">
        <v>1183.21258064516</v>
      </c>
      <c r="C11" s="11" t="s">
        <v>38</v>
      </c>
      <c r="D11" s="13" t="s">
        <v>39</v>
      </c>
    </row>
    <row r="12" customFormat="false" ht="15" hidden="false" customHeight="false" outlineLevel="0" collapsed="false">
      <c r="A12" s="11" t="s">
        <v>40</v>
      </c>
      <c r="B12" s="14" t="n">
        <v>1406.62741935484</v>
      </c>
      <c r="C12" s="11" t="s">
        <v>38</v>
      </c>
      <c r="D12" s="13" t="s">
        <v>41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42</v>
      </c>
      <c r="B1" s="1"/>
      <c r="C1" s="1"/>
      <c r="D1" s="1"/>
    </row>
    <row r="2" customFormat="false" ht="15" hidden="false" customHeight="false" outlineLevel="0" collapsed="false">
      <c r="A2" s="2" t="s">
        <v>43</v>
      </c>
      <c r="B2" s="2"/>
      <c r="C2" s="2"/>
      <c r="D2" s="2"/>
    </row>
    <row r="4" customFormat="false" ht="25.5" hidden="false" customHeight="true" outlineLevel="0" collapsed="false">
      <c r="A4" s="10" t="s">
        <v>44</v>
      </c>
      <c r="B4" s="10" t="s">
        <v>45</v>
      </c>
      <c r="C4" s="10" t="s">
        <v>23</v>
      </c>
      <c r="D4" s="10" t="s">
        <v>46</v>
      </c>
    </row>
    <row r="5" customFormat="false" ht="26.85" hidden="false" customHeight="false" outlineLevel="0" collapsed="false">
      <c r="A5" s="11" t="s">
        <v>47</v>
      </c>
      <c r="B5" s="14" t="n">
        <v>1455</v>
      </c>
      <c r="C5" s="11" t="s">
        <v>38</v>
      </c>
      <c r="D5" s="15" t="s">
        <v>48</v>
      </c>
    </row>
    <row r="6" customFormat="false" ht="15" hidden="false" customHeight="false" outlineLevel="0" collapsed="false">
      <c r="A6" s="11" t="s">
        <v>49</v>
      </c>
      <c r="B6" s="14" t="n">
        <v>25</v>
      </c>
      <c r="C6" s="11" t="s">
        <v>29</v>
      </c>
    </row>
    <row r="7" customFormat="false" ht="15" hidden="false" customHeight="false" outlineLevel="0" collapsed="false">
      <c r="A7" s="11" t="s">
        <v>50</v>
      </c>
      <c r="B7" s="12" t="n">
        <v>2</v>
      </c>
      <c r="C7" s="11" t="s">
        <v>29</v>
      </c>
    </row>
    <row r="8" customFormat="false" ht="15" hidden="false" customHeight="false" outlineLevel="0" collapsed="false">
      <c r="A8" s="11" t="s">
        <v>51</v>
      </c>
      <c r="B8" s="14" t="n">
        <v>435</v>
      </c>
      <c r="C8" s="11" t="s">
        <v>52</v>
      </c>
    </row>
    <row r="9" customFormat="false" ht="15" hidden="false" customHeight="false" outlineLevel="0" collapsed="false">
      <c r="A9" s="11" t="s">
        <v>53</v>
      </c>
      <c r="B9" s="16" t="n">
        <f aca="false">PI()/4*((B6)^2-((B6)-2*(B7))^2)</f>
        <v>144.51326206513</v>
      </c>
      <c r="C9" s="11" t="s">
        <v>54</v>
      </c>
    </row>
    <row r="10" customFormat="false" ht="15" hidden="false" customHeight="false" outlineLevel="0" collapsed="false">
      <c r="A10" s="11" t="s">
        <v>55</v>
      </c>
      <c r="B10" s="16" t="n">
        <f aca="false">B5/B9</f>
        <v>10.068280095596</v>
      </c>
      <c r="C10" s="11" t="s">
        <v>52</v>
      </c>
    </row>
    <row r="11" customFormat="false" ht="15" hidden="false" customHeight="false" outlineLevel="0" collapsed="false">
      <c r="A11" s="11" t="s">
        <v>56</v>
      </c>
      <c r="B11" s="17" t="n">
        <f aca="false">B8/B10</f>
        <v>43.2049958751421</v>
      </c>
      <c r="C11" s="11" t="s">
        <v>57</v>
      </c>
      <c r="D11" s="11" t="s">
        <v>58</v>
      </c>
    </row>
    <row r="13" customFormat="false" ht="16.5" hidden="false" customHeight="true" outlineLevel="0" collapsed="false">
      <c r="A13" s="3" t="s">
        <v>59</v>
      </c>
      <c r="B13" s="3"/>
      <c r="C13" s="3"/>
      <c r="D13" s="3"/>
    </row>
    <row r="14" customFormat="false" ht="15" hidden="false" customHeight="false" outlineLevel="0" collapsed="false">
      <c r="A14" s="11" t="s">
        <v>60</v>
      </c>
      <c r="B14" s="14" t="n">
        <v>1600</v>
      </c>
      <c r="C14" s="11" t="s">
        <v>61</v>
      </c>
    </row>
    <row r="15" customFormat="false" ht="15" hidden="false" customHeight="false" outlineLevel="0" collapsed="false">
      <c r="A15" s="11" t="s">
        <v>62</v>
      </c>
      <c r="B15" s="14"/>
      <c r="C15" s="11" t="s">
        <v>61</v>
      </c>
    </row>
  </sheetData>
  <mergeCells count="3">
    <mergeCell ref="A1:D1"/>
    <mergeCell ref="A2:D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6" min="4" style="0" width="14"/>
  </cols>
  <sheetData>
    <row r="1" customFormat="false" ht="24" hidden="false" customHeight="true" outlineLevel="0" collapsed="false">
      <c r="A1" s="1" t="s">
        <v>63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10" t="s">
        <v>65</v>
      </c>
      <c r="B4" s="10" t="s">
        <v>66</v>
      </c>
      <c r="C4" s="10" t="s">
        <v>67</v>
      </c>
      <c r="D4" s="10" t="s">
        <v>68</v>
      </c>
      <c r="E4" s="10" t="s">
        <v>69</v>
      </c>
      <c r="F4" s="10" t="s">
        <v>70</v>
      </c>
    </row>
    <row r="5" customFormat="false" ht="15" hidden="false" customHeight="false" outlineLevel="0" collapsed="false">
      <c r="A5" s="11" t="s">
        <v>71</v>
      </c>
      <c r="B5" s="18"/>
      <c r="C5" s="14"/>
      <c r="D5" s="19" t="str">
        <f aca="false">IF(AND(B5&lt;&gt;"",C5&lt;&gt;""),B5*C5,"")</f>
        <v/>
      </c>
      <c r="E5" s="18"/>
      <c r="F5" s="19" t="str">
        <f aca="false">IF(AND(E5&lt;&gt;"",D5&lt;&gt;""),E5-D5,"")</f>
        <v/>
      </c>
    </row>
    <row r="6" customFormat="false" ht="15" hidden="false" customHeight="false" outlineLevel="0" collapsed="false">
      <c r="A6" s="11" t="s">
        <v>72</v>
      </c>
      <c r="B6" s="18"/>
      <c r="C6" s="14"/>
      <c r="D6" s="19" t="str">
        <f aca="false">IF(AND(B6&lt;&gt;"",C6&lt;&gt;""),B6*C6,"")</f>
        <v/>
      </c>
      <c r="E6" s="18"/>
      <c r="F6" s="19" t="str">
        <f aca="false">IF(AND(E6&lt;&gt;"",D6&lt;&gt;""),E6-D6,"")</f>
        <v/>
      </c>
    </row>
    <row r="7" customFormat="false" ht="15" hidden="false" customHeight="false" outlineLevel="0" collapsed="false">
      <c r="A7" s="11" t="s">
        <v>73</v>
      </c>
      <c r="B7" s="18"/>
      <c r="C7" s="14"/>
      <c r="D7" s="19" t="str">
        <f aca="false">IF(AND(B7&lt;&gt;"",C7&lt;&gt;""),B7*C7,"")</f>
        <v/>
      </c>
      <c r="E7" s="18"/>
      <c r="F7" s="19" t="str">
        <f aca="false">IF(AND(E7&lt;&gt;"",D7&lt;&gt;""),E7-D7,"")</f>
        <v/>
      </c>
    </row>
    <row r="8" customFormat="false" ht="15" hidden="false" customHeight="false" outlineLevel="0" collapsed="false">
      <c r="A8" s="11" t="s">
        <v>74</v>
      </c>
      <c r="B8" s="18"/>
      <c r="C8" s="14"/>
      <c r="D8" s="19" t="str">
        <f aca="false">IF(AND(B8&lt;&gt;"",C8&lt;&gt;""),B8*C8,"")</f>
        <v/>
      </c>
      <c r="E8" s="18"/>
      <c r="F8" s="19" t="str">
        <f aca="false">IF(AND(E8&lt;&gt;"",D8&lt;&gt;""),E8-D8,"")</f>
        <v/>
      </c>
    </row>
    <row r="9" customFormat="false" ht="15" hidden="false" customHeight="false" outlineLevel="0" collapsed="false">
      <c r="A9" s="11" t="s">
        <v>75</v>
      </c>
      <c r="B9" s="18"/>
      <c r="C9" s="14"/>
      <c r="D9" s="19" t="str">
        <f aca="false">IF(AND(B9&lt;&gt;"",C9&lt;&gt;""),B9*C9,"")</f>
        <v/>
      </c>
      <c r="E9" s="18"/>
      <c r="F9" s="19" t="str">
        <f aca="false">IF(AND(E9&lt;&gt;"",D9&lt;&gt;""),E9-D9,"")</f>
        <v/>
      </c>
    </row>
    <row r="10" customFormat="false" ht="15" hidden="false" customHeight="false" outlineLevel="0" collapsed="false">
      <c r="A10" s="11" t="s">
        <v>76</v>
      </c>
      <c r="B10" s="18"/>
      <c r="C10" s="14"/>
      <c r="D10" s="19" t="str">
        <f aca="false">IF(AND(B10&lt;&gt;"",C10&lt;&gt;""),B10*C10,"")</f>
        <v/>
      </c>
      <c r="E10" s="18"/>
      <c r="F10" s="19" t="str">
        <f aca="false">IF(AND(E10&lt;&gt;"",D10&lt;&gt;""),E10-D10,"")</f>
        <v/>
      </c>
    </row>
    <row r="11" customFormat="false" ht="15" hidden="false" customHeight="false" outlineLevel="0" collapsed="false">
      <c r="A11" s="11" t="s">
        <v>77</v>
      </c>
      <c r="B11" s="18"/>
      <c r="C11" s="14"/>
      <c r="D11" s="19" t="str">
        <f aca="false">IF(AND(B11&lt;&gt;"",C11&lt;&gt;""),B11*C11,"")</f>
        <v/>
      </c>
      <c r="E11" s="18"/>
      <c r="F11" s="19" t="str">
        <f aca="false">IF(AND(E11&lt;&gt;"",D11&lt;&gt;""),E11-D11,"")</f>
        <v/>
      </c>
    </row>
    <row r="12" customFormat="false" ht="15" hidden="false" customHeight="false" outlineLevel="0" collapsed="false">
      <c r="A12" s="11" t="s">
        <v>78</v>
      </c>
      <c r="B12" s="18"/>
      <c r="C12" s="14"/>
      <c r="D12" s="19" t="str">
        <f aca="false">IF(AND(B12&lt;&gt;"",C12&lt;&gt;""),B12*C12,"")</f>
        <v/>
      </c>
      <c r="E12" s="18"/>
      <c r="F12" s="19" t="str">
        <f aca="false">IF(AND(E12&lt;&gt;"",D12&lt;&gt;""),E12-D12,"")</f>
        <v/>
      </c>
    </row>
    <row r="13" customFormat="false" ht="15" hidden="false" customHeight="false" outlineLevel="0" collapsed="false">
      <c r="A13" s="11" t="s">
        <v>79</v>
      </c>
      <c r="B13" s="18"/>
      <c r="C13" s="14"/>
      <c r="D13" s="19" t="str">
        <f aca="false">IF(AND(B13&lt;&gt;"",C13&lt;&gt;""),B13*C13,"")</f>
        <v/>
      </c>
      <c r="E13" s="18"/>
      <c r="F13" s="19" t="str">
        <f aca="false">IF(AND(E13&lt;&gt;"",D13&lt;&gt;""),E13-D13,"")</f>
        <v/>
      </c>
    </row>
    <row r="14" customFormat="false" ht="15" hidden="false" customHeight="false" outlineLevel="0" collapsed="false">
      <c r="A14" s="11" t="s">
        <v>80</v>
      </c>
      <c r="B14" s="18"/>
      <c r="C14" s="14"/>
      <c r="D14" s="19" t="str">
        <f aca="false">IF(AND(B14&lt;&gt;"",C14&lt;&gt;""),B14*C14,"")</f>
        <v/>
      </c>
      <c r="E14" s="18"/>
      <c r="F14" s="19" t="str">
        <f aca="false">IF(AND(E14&lt;&gt;"",D14&lt;&gt;""),E14-D14,"")</f>
        <v/>
      </c>
    </row>
    <row r="15" customFormat="false" ht="15" hidden="false" customHeight="false" outlineLevel="0" collapsed="false">
      <c r="A15" s="11" t="s">
        <v>81</v>
      </c>
      <c r="B15" s="18"/>
      <c r="C15" s="14"/>
      <c r="D15" s="19" t="str">
        <f aca="false">IF(AND(B15&lt;&gt;"",C15&lt;&gt;""),B15*C15,"")</f>
        <v/>
      </c>
      <c r="E15" s="18"/>
      <c r="F15" s="19" t="str">
        <f aca="false">IF(AND(E15&lt;&gt;"",D15&lt;&gt;""),E15-D15,"")</f>
        <v/>
      </c>
    </row>
    <row r="16" customFormat="false" ht="15" hidden="false" customHeight="false" outlineLevel="0" collapsed="false">
      <c r="A16" s="11" t="s">
        <v>82</v>
      </c>
      <c r="B16" s="18"/>
      <c r="C16" s="14"/>
      <c r="D16" s="19" t="str">
        <f aca="false">IF(AND(B16&lt;&gt;"",C16&lt;&gt;""),B16*C16,"")</f>
        <v/>
      </c>
      <c r="E16" s="18"/>
      <c r="F16" s="19" t="str">
        <f aca="false">IF(AND(E16&lt;&gt;"",D16&lt;&gt;""),E16-D16,"")</f>
        <v/>
      </c>
    </row>
    <row r="17" customFormat="false" ht="15" hidden="false" customHeight="false" outlineLevel="0" collapsed="false">
      <c r="A17" s="11" t="s">
        <v>83</v>
      </c>
      <c r="B17" s="18"/>
      <c r="C17" s="14"/>
      <c r="D17" s="19" t="str">
        <f aca="false">IF(AND(B17&lt;&gt;"",C17&lt;&gt;""),B17*C17,"")</f>
        <v/>
      </c>
      <c r="E17" s="18"/>
      <c r="F17" s="19" t="str">
        <f aca="false">IF(AND(E17&lt;&gt;"",D17&lt;&gt;""),E17-D17,"")</f>
        <v/>
      </c>
    </row>
    <row r="18" customFormat="false" ht="15" hidden="false" customHeight="false" outlineLevel="0" collapsed="false">
      <c r="A18" s="11" t="s">
        <v>84</v>
      </c>
      <c r="B18" s="18"/>
      <c r="C18" s="14"/>
      <c r="D18" s="19" t="str">
        <f aca="false">IF(AND(B18&lt;&gt;"",C18&lt;&gt;""),B18*C18,"")</f>
        <v/>
      </c>
      <c r="E18" s="18"/>
      <c r="F18" s="19" t="str">
        <f aca="false">IF(AND(E18&lt;&gt;"",D18&lt;&gt;""),E18-D18,"")</f>
        <v/>
      </c>
    </row>
    <row r="19" customFormat="false" ht="15" hidden="false" customHeight="false" outlineLevel="0" collapsed="false">
      <c r="A19" s="20" t="s">
        <v>85</v>
      </c>
      <c r="D19" s="21" t="n">
        <f aca="false">SUM(D5:D18)</f>
        <v>0</v>
      </c>
      <c r="E19" s="21" t="n">
        <f aca="false">SUM(E5:E18)</f>
        <v>0</v>
      </c>
      <c r="F19" s="21" t="n">
        <f aca="false">SUM(F5:F18)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86</v>
      </c>
      <c r="B1" s="1"/>
      <c r="C1" s="1"/>
      <c r="D1" s="1"/>
    </row>
    <row r="2" customFormat="false" ht="15" hidden="false" customHeight="false" outlineLevel="0" collapsed="false">
      <c r="A2" s="2" t="s">
        <v>87</v>
      </c>
      <c r="B2" s="2"/>
      <c r="C2" s="2"/>
      <c r="D2" s="2"/>
    </row>
    <row r="4" customFormat="false" ht="25.5" hidden="false" customHeight="true" outlineLevel="0" collapsed="false">
      <c r="A4" s="10" t="s">
        <v>88</v>
      </c>
      <c r="B4" s="10" t="s">
        <v>45</v>
      </c>
      <c r="C4" s="10" t="s">
        <v>23</v>
      </c>
      <c r="D4" s="10" t="s">
        <v>89</v>
      </c>
    </row>
    <row r="5" customFormat="false" ht="26.85" hidden="false" customHeight="false" outlineLevel="0" collapsed="false">
      <c r="A5" s="11" t="s">
        <v>90</v>
      </c>
      <c r="B5" s="22"/>
      <c r="C5" s="11" t="s">
        <v>26</v>
      </c>
      <c r="D5" s="15" t="s">
        <v>91</v>
      </c>
    </row>
    <row r="6" customFormat="false" ht="15" hidden="false" customHeight="false" outlineLevel="0" collapsed="false">
      <c r="A6" s="11" t="s">
        <v>92</v>
      </c>
      <c r="B6" s="22"/>
      <c r="C6" s="11" t="s">
        <v>61</v>
      </c>
      <c r="D6" s="15" t="s">
        <v>93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