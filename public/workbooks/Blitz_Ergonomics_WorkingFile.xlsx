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To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6</xdr:row>
                <xdr:rowOff>12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6</xdr:row>
                <xdr:rowOff>12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6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<sst xmlns="http://schemas.openxmlformats.org/spreadsheetml/2006/main" count="85" uniqueCount="62">
  <si>
    <t xml:space="preserve">ERGONOMICS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</si>
  <si>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</si>
  <si>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</si>
  <si>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</si>
  <si>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</si>
  <si>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</si>
  <si>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</si>
  <si>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</si>
  <si>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</si>
  <si>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</si>
  <si>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</si>
  <si>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</si>
  <si>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</si>
  <si>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</si>
  <si>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</si>
  <si>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</si>
  <si>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</si>
  <si>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</si>
  <si>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</si>
  <si>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</si>
  <si>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</si>
  <si>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</si>
  <si>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</si>
  <si>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</si>
  <si>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</si>
  <si>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Wheelbase</t>
  </si>
  <si>
    <t xml:space="preserve">mm</t>
  </si>
  <si>
    <t xml:space="preserve">Master!C15</t>
  </si>
  <si>
    <t xml:space="preserve">CoG height</t>
  </si>
  <si>
    <t xml:space="preserve">Master!C11</t>
  </si>
  <si>
    <t xml:space="preserve">Total mass (with driver)</t>
  </si>
  <si>
    <t xml:space="preserve">kg</t>
  </si>
  <si>
    <t xml:space="preserve">Master!C9</t>
  </si>
  <si>
    <t xml:space="preserve">ERGONOMICS — CALCULATIONS</t>
  </si>
  <si>
    <t xml:space="preserve">Starter calculations. Blue cells are inputs; green pull from FromMaster; black are computed.</t>
  </si>
  <si>
    <t xml:space="preserve">Item</t>
  </si>
  <si>
    <t xml:space="preserve">Value</t>
  </si>
  <si>
    <t xml:space="preserve">Note</t>
  </si>
  <si>
    <t xml:space="preserve">Driver height (5th %ile)</t>
  </si>
  <si>
    <t xml:space="preserve">Driver height (95th %ile)</t>
  </si>
  <si>
    <t xml:space="preserve">Driver mass (strapped)</t>
  </si>
  <si>
    <t xml:space="preserve">Driver CoG height</t>
  </si>
  <si>
    <t xml:space="preserve">Seat back angle</t>
  </si>
  <si>
    <t xml:space="preserve">deg</t>
  </si>
  <si>
    <t xml:space="preserve">Pedal-box adjustment range</t>
  </si>
  <si>
    <t xml:space="preserve">Steering reach</t>
  </si>
  <si>
    <t xml:space="preserve">Helmet top to roll-hoop line</t>
  </si>
  <si>
    <t xml:space="preserve">Must clear the rule template — keep positive margin.</t>
  </si>
  <si>
    <t xml:space="preserve">Wheelbase (from Master)</t>
  </si>
  <si>
    <t xml:space="preserve">CHECKLIST</t>
  </si>
  <si>
    <t xml:space="preserve">95th-percentile driver fits with helmet</t>
  </si>
  <si>
    <t xml:space="preserve">Y/N</t>
  </si>
  <si>
    <t xml:space="preserve">5th-percentile reaches all controls</t>
  </si>
  <si>
    <t xml:space="preserve">Egress &lt; 5 s (timed)</t>
  </si>
  <si>
    <t xml:space="preserve">Clear view of track &amp; marshals</t>
  </si>
  <si>
    <t xml:space="preserve">Belts anchored per rules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</si>
  <si>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</si>
  <si>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</si>
  <si>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</si>
  <si>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Where it goes on the Master</t>
  </si>
  <si>
    <t xml:space="preserve">Master → update MassBudget Driver row</t>
  </si>
  <si>
    <t xml:space="preserve">Master → Ergonomics tab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</si>
</sst>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1550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2" t="n">
        <v>263.409090909091</v>
      </c>
      <c r="C7" s="11" t="s">
        <v>26</v>
      </c>
      <c r="D7" s="13" t="s">
        <v>29</v>
      </c>
    </row>
    <row r="8" customFormat="false" ht="15" hidden="false" customHeight="false" outlineLevel="0" collapsed="false">
      <c r="A8" s="11" t="s">
        <v>30</v>
      </c>
      <c r="B8" s="14" t="n">
        <v>264</v>
      </c>
      <c r="C8" s="11" t="s">
        <v>31</v>
      </c>
      <c r="D8" s="13" t="s">
        <v>32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33</v>
      </c>
      <c r="B1" s="1"/>
      <c r="C1" s="1"/>
      <c r="D1" s="1"/>
    </row>
    <row r="2" customFormat="false" ht="15" hidden="false" customHeight="false" outlineLevel="0" collapsed="false">
      <c r="A2" s="2" t="s">
        <v>34</v>
      </c>
      <c r="B2" s="2"/>
      <c r="C2" s="2"/>
      <c r="D2" s="2"/>
    </row>
    <row r="4" customFormat="false" ht="25.5" hidden="false" customHeight="true" outlineLevel="0" collapsed="false">
      <c r="A4" s="10" t="s">
        <v>35</v>
      </c>
      <c r="B4" s="10" t="s">
        <v>36</v>
      </c>
      <c r="C4" s="10" t="s">
        <v>23</v>
      </c>
      <c r="D4" s="10" t="s">
        <v>37</v>
      </c>
    </row>
    <row r="5" customFormat="false" ht="15" hidden="false" customHeight="false" outlineLevel="0" collapsed="false">
      <c r="A5" s="11" t="s">
        <v>38</v>
      </c>
      <c r="B5" s="12" t="n">
        <v>1600</v>
      </c>
      <c r="C5" s="11" t="s">
        <v>26</v>
      </c>
    </row>
    <row r="6" customFormat="false" ht="15" hidden="false" customHeight="false" outlineLevel="0" collapsed="false">
      <c r="A6" s="11" t="s">
        <v>39</v>
      </c>
      <c r="B6" s="12" t="n">
        <v>1870</v>
      </c>
      <c r="C6" s="11" t="s">
        <v>26</v>
      </c>
    </row>
    <row r="7" customFormat="false" ht="15" hidden="false" customHeight="false" outlineLevel="0" collapsed="false">
      <c r="A7" s="11" t="s">
        <v>40</v>
      </c>
      <c r="B7" s="14" t="n">
        <v>75</v>
      </c>
      <c r="C7" s="11" t="s">
        <v>31</v>
      </c>
    </row>
    <row r="8" customFormat="false" ht="15" hidden="false" customHeight="false" outlineLevel="0" collapsed="false">
      <c r="A8" s="11" t="s">
        <v>41</v>
      </c>
      <c r="B8" s="12" t="n">
        <v>300</v>
      </c>
      <c r="C8" s="11" t="s">
        <v>26</v>
      </c>
    </row>
    <row r="9" customFormat="false" ht="15" hidden="false" customHeight="false" outlineLevel="0" collapsed="false">
      <c r="A9" s="11" t="s">
        <v>42</v>
      </c>
      <c r="B9" s="12" t="n">
        <v>45</v>
      </c>
      <c r="C9" s="11" t="s">
        <v>43</v>
      </c>
    </row>
    <row r="10" customFormat="false" ht="15" hidden="false" customHeight="false" outlineLevel="0" collapsed="false">
      <c r="A10" s="11" t="s">
        <v>44</v>
      </c>
      <c r="B10" s="12" t="n">
        <v>275</v>
      </c>
      <c r="C10" s="11" t="s">
        <v>26</v>
      </c>
    </row>
    <row r="11" customFormat="false" ht="15" hidden="false" customHeight="false" outlineLevel="0" collapsed="false">
      <c r="A11" s="11" t="s">
        <v>45</v>
      </c>
      <c r="B11" s="12" t="n">
        <v>360</v>
      </c>
      <c r="C11" s="11" t="s">
        <v>26</v>
      </c>
    </row>
    <row r="12" customFormat="false" ht="26.85" hidden="false" customHeight="false" outlineLevel="0" collapsed="false">
      <c r="A12" s="11" t="s">
        <v>46</v>
      </c>
      <c r="B12" s="12" t="n">
        <v>60</v>
      </c>
      <c r="C12" s="11" t="s">
        <v>26</v>
      </c>
      <c r="D12" s="15" t="s">
        <v>47</v>
      </c>
    </row>
    <row r="13" customFormat="false" ht="15" hidden="false" customHeight="false" outlineLevel="0" collapsed="false">
      <c r="A13" s="11" t="s">
        <v>48</v>
      </c>
      <c r="B13" s="16" t="n">
        <f aca="false">FromMaster!B6</f>
        <v>1550</v>
      </c>
      <c r="C13" s="11" t="s">
        <v>26</v>
      </c>
    </row>
    <row r="15" customFormat="false" ht="16.5" hidden="false" customHeight="true" outlineLevel="0" collapsed="false">
      <c r="A15" s="3" t="s">
        <v>49</v>
      </c>
      <c r="B15" s="3"/>
      <c r="C15" s="3"/>
      <c r="D15" s="3"/>
    </row>
    <row r="16" customFormat="false" ht="15" hidden="false" customHeight="false" outlineLevel="0" collapsed="false">
      <c r="A16" s="11" t="s">
        <v>50</v>
      </c>
      <c r="B16" s="9"/>
      <c r="C16" s="11" t="s">
        <v>51</v>
      </c>
    </row>
    <row r="17" customFormat="false" ht="15" hidden="false" customHeight="false" outlineLevel="0" collapsed="false">
      <c r="A17" s="11" t="s">
        <v>52</v>
      </c>
      <c r="B17" s="9"/>
      <c r="C17" s="11" t="s">
        <v>51</v>
      </c>
    </row>
    <row r="18" customFormat="false" ht="15" hidden="false" customHeight="false" outlineLevel="0" collapsed="false">
      <c r="A18" s="11" t="s">
        <v>53</v>
      </c>
      <c r="B18" s="9"/>
      <c r="C18" s="11" t="s">
        <v>51</v>
      </c>
    </row>
    <row r="19" customFormat="false" ht="15" hidden="false" customHeight="false" outlineLevel="0" collapsed="false">
      <c r="A19" s="11" t="s">
        <v>54</v>
      </c>
      <c r="B19" s="9"/>
      <c r="C19" s="11" t="s">
        <v>51</v>
      </c>
    </row>
    <row r="20" customFormat="false" ht="15" hidden="false" customHeight="false" outlineLevel="0" collapsed="false">
      <c r="A20" s="11" t="s">
        <v>55</v>
      </c>
      <c r="B20" s="9"/>
      <c r="C20" s="11" t="s">
        <v>51</v>
      </c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56</v>
      </c>
      <c r="B1" s="1"/>
      <c r="C1" s="1"/>
      <c r="D1" s="1"/>
    </row>
    <row r="2" customFormat="false" ht="15" hidden="false" customHeight="false" outlineLevel="0" collapsed="false">
      <c r="A2" s="2" t="s">
        <v>57</v>
      </c>
      <c r="B2" s="2"/>
      <c r="C2" s="2"/>
      <c r="D2" s="2"/>
    </row>
    <row r="4" customFormat="false" ht="25.5" hidden="false" customHeight="true" outlineLevel="0" collapsed="false">
      <c r="A4" s="10" t="s">
        <v>58</v>
      </c>
      <c r="B4" s="10" t="s">
        <v>36</v>
      </c>
      <c r="C4" s="10" t="s">
        <v>23</v>
      </c>
      <c r="D4" s="10" t="s">
        <v>59</v>
      </c>
    </row>
    <row r="5" customFormat="false" ht="15" hidden="false" customHeight="false" outlineLevel="0" collapsed="false">
      <c r="A5" s="11" t="s">
        <v>40</v>
      </c>
      <c r="B5" s="17"/>
      <c r="C5" s="11" t="s">
        <v>31</v>
      </c>
      <c r="D5" s="15" t="s">
        <v>60</v>
      </c>
    </row>
    <row r="6" customFormat="false" ht="15" hidden="false" customHeight="false" outlineLevel="0" collapsed="false">
      <c r="A6" s="11" t="s">
        <v>41</v>
      </c>
      <c r="B6" s="17"/>
      <c r="C6" s="11" t="s">
        <v>26</v>
      </c>
      <c r="D6" s="15" t="s">
        <v>61</v>
      </c>
    </row>
    <row r="7" customFormat="false" ht="15" hidden="false" customHeight="false" outlineLevel="0" collapsed="false">
      <c r="A7" s="11" t="s">
        <v>42</v>
      </c>
      <c r="B7" s="17"/>
      <c r="C7" s="11" t="s">
        <v>43</v>
      </c>
      <c r="D7" s="15" t="s">
        <v>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