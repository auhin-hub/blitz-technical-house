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Calculations" sheetId="3" state="visible" r:id="rId5"/>
    <sheet name="Wiring" sheetId="4" state="visible" r:id="rId6"/>
    <sheet name="ToMa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Sum of every electrical load's current draw, 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Alternator/stator output minus total load. Must stay positive or the battery drains.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16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Sum of every electrical load's current draw, 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16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Alternator/stator output minus total load. Must stay positive or the battery drains.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53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Sum of every electrical load's current draw, 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<sst xmlns="http://schemas.openxmlformats.org/spreadsheetml/2006/main" count="144" uniqueCount="118">
  <si>
    <t xml:space="preserve">ELECTRONICS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</si>
  <si>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</si>
  <si>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</si>
  <si>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</si>
  <si>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</si>
  <si>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</si>
  <si>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</si>
  <si>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</si>
  <si>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</si>
  <si>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</si>
  <si>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</si>
  <si>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</si>
  <si>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</si>
  <si>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</si>
  <si>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</si>
  <si>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</si>
  <si>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</si>
  <si>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</si>
  <si>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</si>
  <si>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</si>
  <si>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</si>
  <si>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</si>
  <si>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</si>
  <si>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</si>
  <si>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</si>
  <si>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Total mass (with driver)</t>
  </si>
  <si>
    <t xml:space="preserve">kg</t>
  </si>
  <si>
    <t xml:space="preserve">Master!C9</t>
  </si>
  <si>
    <t xml:space="preserve">ELECTRONICS — CALCULATIONS</t>
  </si>
  <si>
    <t xml:space="preserve">Starter calculations. Blue cells are inputs; green pull from FromMaster; black are computed.</t>
  </si>
  <si>
    <t xml:space="preserve">Load</t>
  </si>
  <si>
    <t xml:space="preserve">Current (A)</t>
  </si>
  <si>
    <t xml:space="preserve">Note</t>
  </si>
  <si>
    <t xml:space="preserve">ECU + sensors</t>
  </si>
  <si>
    <t xml:space="preserve">Fuel pump</t>
  </si>
  <si>
    <t xml:space="preserve">Fan</t>
  </si>
  <si>
    <t xml:space="preserve">DAQ + telemetry</t>
  </si>
  <si>
    <t xml:space="preserve">Dash + lights</t>
  </si>
  <si>
    <t xml:space="preserve">Ignition/coils</t>
  </si>
  <si>
    <t xml:space="preserve">Total current</t>
  </si>
  <si>
    <t xml:space="preserve">A</t>
  </si>
  <si>
    <t xml:space="preserve">Stator output</t>
  </si>
  <si>
    <t xml:space="preserve">Margin (stator − load)</t>
  </si>
  <si>
    <t xml:space="preserve">A — keep positive</t>
  </si>
  <si>
    <t xml:space="preserve">Main fuse</t>
  </si>
  <si>
    <t xml:space="preserve">Battery mass (→ MassBudget)</t>
  </si>
  <si>
    <t xml:space="preserve">ELECTRONICS — HARNESS CONNECTION LIST</t>
  </si>
  <si>
    <t xml:space="preserve">One row per wire. Fill Source and Destination; use the colour guide so every connection is traceable when you build and debug the loom.</t>
  </si>
  <si>
    <t xml:space="preserve">Sl.</t>
  </si>
  <si>
    <t xml:space="preserve">Src comp</t>
  </si>
  <si>
    <t xml:space="preserve">Source name</t>
  </si>
  <si>
    <t xml:space="preserve">Connector</t>
  </si>
  <si>
    <t xml:space="preserve">Pins</t>
  </si>
  <si>
    <t xml:space="preserve">Dst comp</t>
  </si>
  <si>
    <t xml:space="preserve">Destination name</t>
  </si>
  <si>
    <t xml:space="preserve">Pin #</t>
  </si>
  <si>
    <t xml:space="preserve">Colour</t>
  </si>
  <si>
    <t xml:space="preserve">COLOUR GUIDE</t>
  </si>
  <si>
    <t xml:space="preserve">1</t>
  </si>
  <si>
    <t xml:space="preserve">G10</t>
  </si>
  <si>
    <t xml:space="preserve">Battery +</t>
  </si>
  <si>
    <t xml:space="preserve">Lug</t>
  </si>
  <si>
    <t xml:space="preserve">F1</t>
  </si>
  <si>
    <t xml:space="preserve">30 A main fuse</t>
  </si>
  <si>
    <t xml:space="preserve">red</t>
  </si>
  <si>
    <t xml:space="preserve">Code</t>
  </si>
  <si>
    <t xml:space="preserve">2</t>
  </si>
  <si>
    <t xml:space="preserve">Blade</t>
  </si>
  <si>
    <t xml:space="preserve">K30</t>
  </si>
  <si>
    <t xml:space="preserve">Power relay</t>
  </si>
  <si>
    <t xml:space="preserve">30</t>
  </si>
  <si>
    <t xml:space="preserve">bl</t>
  </si>
  <si>
    <t xml:space="preserve">Black</t>
  </si>
  <si>
    <t xml:space="preserve">3</t>
  </si>
  <si>
    <t xml:space="preserve">Micro</t>
  </si>
  <si>
    <t xml:space="preserve">87</t>
  </si>
  <si>
    <t xml:space="preserve">A11</t>
  </si>
  <si>
    <t xml:space="preserve">EFI control unit</t>
  </si>
  <si>
    <t xml:space="preserve">red-wh</t>
  </si>
  <si>
    <t xml:space="preserve">br</t>
  </si>
  <si>
    <t xml:space="preserve">Brown</t>
  </si>
  <si>
    <t xml:space="preserve">4</t>
  </si>
  <si>
    <t xml:space="preserve">AMP</t>
  </si>
  <si>
    <t xml:space="preserve">—</t>
  </si>
  <si>
    <t xml:space="preserve">B37</t>
  </si>
  <si>
    <t xml:space="preserve">Crank position sensor</t>
  </si>
  <si>
    <t xml:space="preserve">gn</t>
  </si>
  <si>
    <t xml:space="preserve">bu</t>
  </si>
  <si>
    <t xml:space="preserve">Blue</t>
  </si>
  <si>
    <t xml:space="preserve">5</t>
  </si>
  <si>
    <t xml:space="preserve">M51</t>
  </si>
  <si>
    <t xml:space="preserve">Injector</t>
  </si>
  <si>
    <t xml:space="preserve">Green</t>
  </si>
  <si>
    <t xml:space="preserve">gr</t>
  </si>
  <si>
    <t xml:space="preserve">Grey</t>
  </si>
  <si>
    <t xml:space="preserve">lbu</t>
  </si>
  <si>
    <t xml:space="preserve">Light blue</t>
  </si>
  <si>
    <t xml:space="preserve">or</t>
  </si>
  <si>
    <t xml:space="preserve">Orange</t>
  </si>
  <si>
    <t xml:space="preserve">pk</t>
  </si>
  <si>
    <t xml:space="preserve">Pink</t>
  </si>
  <si>
    <t xml:space="preserve">pu</t>
  </si>
  <si>
    <t xml:space="preserve">Violet</t>
  </si>
  <si>
    <t xml:space="preserve">rd</t>
  </si>
  <si>
    <t xml:space="preserve">Red</t>
  </si>
  <si>
    <t xml:space="preserve">wh</t>
  </si>
  <si>
    <t xml:space="preserve">White</t>
  </si>
  <si>
    <t xml:space="preserve">ye</t>
  </si>
  <si>
    <t xml:space="preserve">Yellow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</si>
  <si>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</si>
  <si>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</si>
  <si>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</si>
  <si>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Value</t>
  </si>
  <si>
    <t xml:space="preserve">Where it goes on the Master</t>
  </si>
  <si>
    <t xml:space="preserve">Battery mass</t>
  </si>
  <si>
    <t xml:space="preserve">Master → update MassBudget battery row</t>
  </si>
  <si>
    <t xml:space="preserve">Total current draw</t>
  </si>
  <si>
    <t xml:space="preserve">Master → ECS tab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</si>
</sst>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264</v>
      </c>
      <c r="C6" s="11" t="s">
        <v>26</v>
      </c>
      <c r="D6" s="13" t="s">
        <v>27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"/>
  </cols>
  <sheetData>
    <row r="1" customFormat="false" ht="24" hidden="false" customHeight="true" outlineLevel="0" collapsed="false">
      <c r="A1" s="1" t="s">
        <v>28</v>
      </c>
      <c r="B1" s="1"/>
      <c r="C1" s="1"/>
      <c r="D1" s="1"/>
    </row>
    <row r="2" customFormat="false" ht="15" hidden="false" customHeight="false" outlineLevel="0" collapsed="false">
      <c r="A2" s="2" t="s">
        <v>29</v>
      </c>
      <c r="B2" s="2"/>
      <c r="C2" s="2"/>
      <c r="D2" s="2"/>
    </row>
    <row r="4" customFormat="false" ht="25.5" hidden="false" customHeight="true" outlineLevel="0" collapsed="false">
      <c r="A4" s="10" t="s">
        <v>30</v>
      </c>
      <c r="B4" s="10" t="s">
        <v>31</v>
      </c>
      <c r="C4" s="10" t="s">
        <v>32</v>
      </c>
      <c r="D4" s="10"/>
    </row>
    <row r="5" customFormat="false" ht="15" hidden="false" customHeight="false" outlineLevel="0" collapsed="false">
      <c r="A5" s="11" t="s">
        <v>33</v>
      </c>
      <c r="B5" s="12" t="n">
        <v>3</v>
      </c>
    </row>
    <row r="6" customFormat="false" ht="15" hidden="false" customHeight="false" outlineLevel="0" collapsed="false">
      <c r="A6" s="11" t="s">
        <v>34</v>
      </c>
      <c r="B6" s="12" t="n">
        <v>5</v>
      </c>
    </row>
    <row r="7" customFormat="false" ht="15" hidden="false" customHeight="false" outlineLevel="0" collapsed="false">
      <c r="A7" s="11" t="s">
        <v>35</v>
      </c>
      <c r="B7" s="12" t="n">
        <v>8</v>
      </c>
    </row>
    <row r="8" customFormat="false" ht="15" hidden="false" customHeight="false" outlineLevel="0" collapsed="false">
      <c r="A8" s="11" t="s">
        <v>36</v>
      </c>
      <c r="B8" s="12" t="n">
        <v>2</v>
      </c>
    </row>
    <row r="9" customFormat="false" ht="15" hidden="false" customHeight="false" outlineLevel="0" collapsed="false">
      <c r="A9" s="11" t="s">
        <v>37</v>
      </c>
      <c r="B9" s="12" t="n">
        <v>2</v>
      </c>
    </row>
    <row r="10" customFormat="false" ht="15" hidden="false" customHeight="false" outlineLevel="0" collapsed="false">
      <c r="A10" s="11" t="s">
        <v>38</v>
      </c>
      <c r="B10" s="12" t="n">
        <v>6</v>
      </c>
    </row>
    <row r="11" customFormat="false" ht="15" hidden="false" customHeight="false" outlineLevel="0" collapsed="false">
      <c r="A11" s="11" t="s">
        <v>39</v>
      </c>
      <c r="B11" s="14" t="n">
        <f aca="false">SUM(B5:B10)</f>
        <v>26</v>
      </c>
      <c r="C11" s="11" t="s">
        <v>40</v>
      </c>
    </row>
    <row r="12" customFormat="false" ht="15" hidden="false" customHeight="false" outlineLevel="0" collapsed="false">
      <c r="A12" s="11" t="s">
        <v>41</v>
      </c>
      <c r="B12" s="12" t="n">
        <v>22.1</v>
      </c>
      <c r="C12" s="11" t="s">
        <v>40</v>
      </c>
    </row>
    <row r="13" customFormat="false" ht="15" hidden="false" customHeight="false" outlineLevel="0" collapsed="false">
      <c r="A13" s="11" t="s">
        <v>42</v>
      </c>
      <c r="B13" s="14" t="n">
        <f aca="false">B12-B11</f>
        <v>-3.9</v>
      </c>
      <c r="C13" s="11" t="s">
        <v>43</v>
      </c>
    </row>
    <row r="14" customFormat="false" ht="15" hidden="false" customHeight="false" outlineLevel="0" collapsed="false">
      <c r="A14" s="11" t="s">
        <v>44</v>
      </c>
      <c r="B14" s="15" t="n">
        <v>150</v>
      </c>
      <c r="C14" s="11" t="s">
        <v>40</v>
      </c>
    </row>
    <row r="15" customFormat="false" ht="15" hidden="false" customHeight="false" outlineLevel="0" collapsed="false">
      <c r="A15" s="11" t="s">
        <v>45</v>
      </c>
      <c r="B15" s="12" t="n">
        <v>4</v>
      </c>
      <c r="C15" s="11" t="s">
        <v>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1" min="11" style="0" width="14"/>
  </cols>
  <sheetData>
    <row r="1" customFormat="false" ht="24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  <c r="I4" s="10" t="s">
        <v>56</v>
      </c>
      <c r="K4" s="16" t="s">
        <v>57</v>
      </c>
    </row>
    <row r="5" customFormat="false" ht="15" hidden="false" customHeight="false" outlineLevel="0" collapsed="false">
      <c r="A5" s="11" t="s">
        <v>58</v>
      </c>
      <c r="B5" s="9" t="s">
        <v>59</v>
      </c>
      <c r="C5" s="9" t="s">
        <v>60</v>
      </c>
      <c r="D5" s="9" t="s">
        <v>61</v>
      </c>
      <c r="E5" s="9" t="s">
        <v>58</v>
      </c>
      <c r="F5" s="9" t="s">
        <v>62</v>
      </c>
      <c r="G5" s="9" t="s">
        <v>63</v>
      </c>
      <c r="H5" s="9" t="s">
        <v>58</v>
      </c>
      <c r="I5" s="9" t="s">
        <v>64</v>
      </c>
      <c r="K5" s="8" t="s">
        <v>65</v>
      </c>
      <c r="L5" s="8" t="s">
        <v>56</v>
      </c>
    </row>
    <row r="6" customFormat="false" ht="15" hidden="false" customHeight="false" outlineLevel="0" collapsed="false">
      <c r="A6" s="11" t="s">
        <v>66</v>
      </c>
      <c r="B6" s="9" t="s">
        <v>62</v>
      </c>
      <c r="C6" s="9" t="s">
        <v>63</v>
      </c>
      <c r="D6" s="9" t="s">
        <v>67</v>
      </c>
      <c r="E6" s="9" t="s">
        <v>58</v>
      </c>
      <c r="F6" s="9" t="s">
        <v>68</v>
      </c>
      <c r="G6" s="9" t="s">
        <v>69</v>
      </c>
      <c r="H6" s="9" t="s">
        <v>70</v>
      </c>
      <c r="I6" s="9" t="s">
        <v>64</v>
      </c>
      <c r="K6" s="17" t="s">
        <v>71</v>
      </c>
      <c r="L6" s="17" t="s">
        <v>72</v>
      </c>
    </row>
    <row r="7" customFormat="false" ht="15" hidden="false" customHeight="false" outlineLevel="0" collapsed="false">
      <c r="A7" s="11" t="s">
        <v>73</v>
      </c>
      <c r="B7" s="9" t="s">
        <v>68</v>
      </c>
      <c r="C7" s="9" t="s">
        <v>69</v>
      </c>
      <c r="D7" s="9" t="s">
        <v>74</v>
      </c>
      <c r="E7" s="9" t="s">
        <v>75</v>
      </c>
      <c r="F7" s="9" t="s">
        <v>76</v>
      </c>
      <c r="G7" s="9" t="s">
        <v>77</v>
      </c>
      <c r="H7" s="9" t="s">
        <v>58</v>
      </c>
      <c r="I7" s="9" t="s">
        <v>78</v>
      </c>
      <c r="K7" s="17" t="s">
        <v>79</v>
      </c>
      <c r="L7" s="17" t="s">
        <v>80</v>
      </c>
    </row>
    <row r="8" customFormat="false" ht="15" hidden="false" customHeight="false" outlineLevel="0" collapsed="false">
      <c r="A8" s="11" t="s">
        <v>81</v>
      </c>
      <c r="B8" s="9" t="s">
        <v>76</v>
      </c>
      <c r="C8" s="9" t="s">
        <v>77</v>
      </c>
      <c r="D8" s="9" t="s">
        <v>82</v>
      </c>
      <c r="E8" s="9" t="s">
        <v>83</v>
      </c>
      <c r="F8" s="9" t="s">
        <v>84</v>
      </c>
      <c r="G8" s="9" t="s">
        <v>85</v>
      </c>
      <c r="H8" s="9" t="s">
        <v>66</v>
      </c>
      <c r="I8" s="9" t="s">
        <v>86</v>
      </c>
      <c r="K8" s="17" t="s">
        <v>87</v>
      </c>
      <c r="L8" s="17" t="s">
        <v>88</v>
      </c>
    </row>
    <row r="9" customFormat="false" ht="15" hidden="false" customHeight="false" outlineLevel="0" collapsed="false">
      <c r="A9" s="11" t="s">
        <v>89</v>
      </c>
      <c r="B9" s="9" t="s">
        <v>76</v>
      </c>
      <c r="C9" s="9" t="s">
        <v>77</v>
      </c>
      <c r="D9" s="9" t="s">
        <v>82</v>
      </c>
      <c r="E9" s="9" t="s">
        <v>83</v>
      </c>
      <c r="F9" s="9" t="s">
        <v>90</v>
      </c>
      <c r="G9" s="9" t="s">
        <v>91</v>
      </c>
      <c r="H9" s="9" t="s">
        <v>58</v>
      </c>
      <c r="I9" s="9" t="s">
        <v>87</v>
      </c>
      <c r="K9" s="17" t="s">
        <v>86</v>
      </c>
      <c r="L9" s="17" t="s">
        <v>92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K10" s="17" t="s">
        <v>93</v>
      </c>
      <c r="L10" s="17" t="s">
        <v>94</v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K11" s="17" t="s">
        <v>95</v>
      </c>
      <c r="L11" s="17" t="s">
        <v>96</v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K12" s="17" t="s">
        <v>97</v>
      </c>
      <c r="L12" s="17" t="s">
        <v>98</v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K13" s="17" t="s">
        <v>99</v>
      </c>
      <c r="L13" s="17" t="s">
        <v>100</v>
      </c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K14" s="17" t="s">
        <v>101</v>
      </c>
      <c r="L14" s="17" t="s">
        <v>102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K15" s="17" t="s">
        <v>103</v>
      </c>
      <c r="L15" s="17" t="s">
        <v>104</v>
      </c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K16" s="17" t="s">
        <v>105</v>
      </c>
      <c r="L16" s="17" t="s">
        <v>106</v>
      </c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K17" s="17" t="s">
        <v>107</v>
      </c>
      <c r="L17" s="17" t="s">
        <v>108</v>
      </c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109</v>
      </c>
      <c r="B1" s="1"/>
      <c r="C1" s="1"/>
      <c r="D1" s="1"/>
    </row>
    <row r="2" customFormat="false" ht="15" hidden="false" customHeight="false" outlineLevel="0" collapsed="false">
      <c r="A2" s="2" t="s">
        <v>110</v>
      </c>
      <c r="B2" s="2"/>
      <c r="C2" s="2"/>
      <c r="D2" s="2"/>
    </row>
    <row r="4" customFormat="false" ht="25.5" hidden="false" customHeight="true" outlineLevel="0" collapsed="false">
      <c r="A4" s="10" t="s">
        <v>111</v>
      </c>
      <c r="B4" s="10" t="s">
        <v>112</v>
      </c>
      <c r="C4" s="10" t="s">
        <v>23</v>
      </c>
      <c r="D4" s="10" t="s">
        <v>113</v>
      </c>
    </row>
    <row r="5" customFormat="false" ht="15" hidden="false" customHeight="false" outlineLevel="0" collapsed="false">
      <c r="A5" s="11" t="s">
        <v>114</v>
      </c>
      <c r="B5" s="18"/>
      <c r="C5" s="11" t="s">
        <v>26</v>
      </c>
      <c r="D5" s="19" t="s">
        <v>115</v>
      </c>
    </row>
    <row r="6" customFormat="false" ht="15" hidden="false" customHeight="false" outlineLevel="0" collapsed="false">
      <c r="A6" s="11" t="s">
        <v>116</v>
      </c>
      <c r="B6" s="18"/>
      <c r="C6" s="11" t="s">
        <v>40</v>
      </c>
      <c r="D6" s="19" t="s">
        <v>117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