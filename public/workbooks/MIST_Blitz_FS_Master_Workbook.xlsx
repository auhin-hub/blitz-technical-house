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comments8.xml" ContentType="application/vnd.openxmlformats-officedocument.spreadsheetml.comments+xml"/>
  <Override PartName="/xl/theme/theme1.xml" ContentType="application/vnd.openxmlformats-officedocument.theme+xml"/>
  <Override PartName="/xl/comments20.xml" ContentType="application/vnd.openxmlformats-officedocument.spreadsheetml.comments+xml"/>
  <Override PartName="/xl/comments5.xml" ContentType="application/vnd.openxmlformats-officedocument.spreadsheetml.comments+xml"/>
  <Override PartName="/xl/comments15.xml" ContentType="application/vnd.openxmlformats-officedocument.spreadsheetml.comments+xml"/>
  <Override PartName="/xl/comments13.xml" ContentType="application/vnd.openxmlformats-officedocument.spreadsheetml.comments+xml"/>
  <Override PartName="/xl/drawings/vmlDrawing11.vml" ContentType="application/vnd.openxmlformats-officedocument.vmlDrawing"/>
  <Override PartName="/xl/drawings/vmlDrawing10.vml" ContentType="application/vnd.openxmlformats-officedocument.vmlDrawing"/>
  <Override PartName="/xl/drawings/vmlDrawing9.vml" ContentType="application/vnd.openxmlformats-officedocument.vmlDrawing"/>
  <Override PartName="/xl/drawings/vmlDrawing8.vml" ContentType="application/vnd.openxmlformats-officedocument.vmlDrawing"/>
  <Override PartName="/xl/drawings/vmlDrawing7.vml" ContentType="application/vnd.openxmlformats-officedocument.vmlDrawing"/>
  <Override PartName="/xl/drawings/vmlDrawing6.vml" ContentType="application/vnd.openxmlformats-officedocument.vmlDrawing"/>
  <Override PartName="/xl/drawings/vmlDrawing5.vml" ContentType="application/vnd.openxmlformats-officedocument.vmlDrawing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vmlDrawing2.vml" ContentType="application/vnd.openxmlformats-officedocument.vmlDrawing"/>
  <Override PartName="/xl/drawings/vmlDrawing4.vml" ContentType="application/vnd.openxmlformats-officedocument.vmlDrawing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vmlDrawing3.vml" ContentType="application/vnd.openxmlformats-officedocument.vmlDrawing"/>
  <Override PartName="/xl/drawings/drawing1.xml" ContentType="application/vnd.openxmlformats-officedocument.drawing+xml"/>
  <Override PartName="/xl/comments11.xml" ContentType="application/vnd.openxmlformats-officedocument.spreadsheetml.comments+xml"/>
  <Override PartName="/xl/comments7.xml" ContentType="application/vnd.openxmlformats-officedocument.spreadsheetml.comments+xml"/>
  <Override PartName="/xl/comments19.xml" ContentType="application/vnd.openxmlformats-officedocument.spreadsheetml.comments+xml"/>
  <Override PartName="/xl/worksheets/_rels/sheet19.xml.rels" ContentType="application/vnd.openxmlformats-package.relationships+xml"/>
  <Override PartName="/xl/worksheets/_rels/sheet20.xml.rels" ContentType="application/vnd.openxmlformats-package.relationships+xml"/>
  <Override PartName="/xl/worksheets/_rels/sheet2.xml.rels" ContentType="application/vnd.openxmlformats-package.relationships+xml"/>
  <Override PartName="/xl/worksheets/_rels/sheet15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8.xml.rels" ContentType="application/vnd.openxmlformats-package.relationships+xml"/>
  <Override PartName="/xl/worksheets/_rels/sheet5.xml.rels" ContentType="application/vnd.openxmlformats-package.relationships+xml"/>
  <Override PartName="/xl/worksheets/_rels/sheet11.xml.rels" ContentType="application/vnd.openxmlformats-package.relationships+xml"/>
  <Override PartName="/xl/worksheets/_rels/sheet6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15.xml" ContentType="application/vnd.openxmlformats-officedocument.spreadsheetml.worksheet+xml"/>
  <Override PartName="/xl/worksheets/sheet28.xml" ContentType="application/vnd.openxmlformats-officedocument.spreadsheetml.worksheet+xml"/>
  <Override PartName="/xl/worksheets/sheet1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comments10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omments6.xml" ContentType="application/vnd.openxmlformats-officedocument.spreadsheetml.comments+xml"/>
  <Override PartName="/xl/styles.xml" ContentType="application/vnd.openxmlformats-officedocument.spreadsheetml.style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structions" sheetId="1" state="visible" r:id="rId3"/>
    <sheet name="Dashboard" sheetId="2" state="visible" r:id="rId4"/>
    <sheet name="Figures" sheetId="3" state="visible" r:id="rId5"/>
    <sheet name="Master" sheetId="4" state="visible" r:id="rId6"/>
    <sheet name="MassBudget" sheetId="5" state="visible" r:id="rId7"/>
    <sheet name="Tyre" sheetId="6" state="visible" r:id="rId8"/>
    <sheet name="LoadTransfer" sheetId="7" state="visible" r:id="rId9"/>
    <sheet name="Springs" sheetId="8" state="visible" r:id="rId10"/>
    <sheet name="LoadCases" sheetId="9" state="visible" r:id="rId11"/>
    <sheet name="LapSim" sheetId="10" state="visible" r:id="rId12"/>
    <sheet name="Chassis" sheetId="11" state="visible" r:id="rId13"/>
    <sheet name="Powertrain" sheetId="12" state="visible" r:id="rId14"/>
    <sheet name="Aero" sheetId="13" state="visible" r:id="rId15"/>
    <sheet name="Brakes" sheetId="14" state="visible" r:id="rId16"/>
    <sheet name="Ergonomics" sheetId="15" state="visible" r:id="rId17"/>
    <sheet name="Telemetry" sheetId="16" state="visible" r:id="rId18"/>
    <sheet name="ECS" sheetId="17" state="visible" r:id="rId19"/>
    <sheet name="DecisionMatrix" sheetId="18" state="visible" r:id="rId20"/>
    <sheet name="Targets" sheetId="19" state="visible" r:id="rId21"/>
    <sheet name="Validation" sheetId="20" state="visible" r:id="rId22"/>
    <sheet name="Nomenclature" sheetId="21" state="visible" r:id="rId23"/>
    <sheet name="Units" sheetId="22" state="visible" r:id="rId24"/>
    <sheet name="Setup" sheetId="23" state="visible" r:id="rId25"/>
    <sheet name="TestLog" sheetId="24" state="visible" r:id="rId26"/>
    <sheet name="Procurement" sheetId="25" state="visible" r:id="rId27"/>
    <sheet name="Gates" sheetId="26" state="visible" r:id="rId28"/>
    <sheet name="ChangeLog" sheetId="27" state="visible" r:id="rId29"/>
    <sheet name="ChartData" sheetId="28" state="hidden" r:id="rId3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B11" authorId="0">
      <text>
        <r>
          <rPr>
            <sz val="10"/>
            <rFont val="Arial"/>
            <family val="2"/>
          </rPr>
          <t xml:space="preserve">Height of the car's centre of gravity above the ground, mm. Higher = more weight shifts under braking/cornering.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98</xdr:colOff>
                <xdr:row>5</xdr:row>
                <xdr:rowOff>7</xdr:rowOff>
              </xdr:to>
            </anchor>
          </commentPr>
        </mc:Choice>
        <mc:Fallback/>
      </mc:AlternateContent>
    </comment>
    <comment ref="B13" authorId="0">
      <text>
        <r>
          <rPr>
            <sz val="10"/>
            <rFont val="Arial"/>
            <family val="2"/>
          </rPr>
          <t xml:space="preserve">Mass NOT held up by the spring (wheel, tyre, upright, brake), per corner. Input.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98</xdr:colOff>
                <xdr:row>5</xdr:row>
                <xdr:rowOff>7</xdr:rowOff>
              </xdr:to>
            </anchor>
          </commentPr>
        </mc:Choice>
        <mc:Fallback/>
      </mc:AlternateContent>
    </comment>
    <comment ref="B15" authorId="0">
      <text>
        <r>
          <rPr>
            <sz val="10"/>
            <rFont val="Arial"/>
            <family val="2"/>
          </rPr>
          <t xml:space="preserve">Distance between front and rear axles, mm.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98</xdr:colOff>
                <xdr:row>5</xdr:row>
                <xdr:rowOff>7</xdr:rowOff>
              </xdr:to>
            </anchor>
          </commentPr>
        </mc:Choice>
        <mc:Fallback/>
      </mc:AlternateContent>
    </comment>
    <comment ref="B31" authorId="0">
      <text>
        <r>
          <rPr>
            <sz val="10"/>
            <rFont val="Arial"/>
            <family val="2"/>
          </rPr>
          <t xml:space="preserve">How far the spring moves for each mm the wheel moves (spring travel / wheel travel). Usually &lt; 1.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98</xdr:colOff>
                <xdr:row>5</xdr:row>
                <xdr:rowOff>7</xdr:rowOff>
              </xdr:to>
            </anchor>
          </commentPr>
        </mc:Choice>
        <mc:Fallback/>
      </mc:AlternateContent>
    </comment>
    <comment ref="C11" authorId="0">
      <text>
        <r>
          <rPr>
            <sz val="10"/>
            <rFont val="Arial"/>
            <family val="2"/>
          </rPr>
          <t xml:space="preserve">Height of the car's centre of gravity above the ground, mm. Higher = more weight shifts under braking/cornering.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98</xdr:colOff>
                <xdr:row>5</xdr:row>
                <xdr:rowOff>7</xdr:rowOff>
              </xdr:to>
            </anchor>
          </commentPr>
        </mc:Choice>
        <mc:Fallback/>
      </mc:AlternateContent>
    </comment>
    <comment ref="C13" authorId="0">
      <text>
        <r>
          <rPr>
            <sz val="10"/>
            <rFont val="Arial"/>
            <family val="2"/>
          </rPr>
          <t xml:space="preserve">Mass NOT held up by the spring (wheel, tyre, upright, brake), per corner. Input.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98</xdr:colOff>
                <xdr:row>5</xdr:row>
                <xdr:rowOff>7</xdr:rowOff>
              </xdr:to>
            </anchor>
          </commentPr>
        </mc:Choice>
        <mc:Fallback/>
      </mc:AlternateContent>
    </comment>
    <comment ref="C15" authorId="0">
      <text>
        <r>
          <rPr>
            <sz val="10"/>
            <rFont val="Arial"/>
            <family val="2"/>
          </rPr>
          <t xml:space="preserve">Distance between front and rear axles, mm.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98</xdr:colOff>
                <xdr:row>5</xdr:row>
                <xdr:rowOff>7</xdr:rowOff>
              </xdr:to>
            </anchor>
          </commentPr>
        </mc:Choice>
        <mc:Fallback/>
      </mc:AlternateContent>
    </comment>
    <comment ref="C31" authorId="0">
      <text>
        <r>
          <rPr>
            <sz val="10"/>
            <rFont val="Arial"/>
            <family val="2"/>
          </rPr>
          <t xml:space="preserve">How far the spring moves for each mm the wheel moves (spring travel / wheel travel). Usually &lt; 1.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98</xdr:colOff>
                <xdr:row>5</xdr:row>
                <xdr:rowOff>7</xdr:rowOff>
              </xdr:to>
            </anchor>
          </commentPr>
        </mc:Choice>
        <mc:Fallback/>
      </mc:AlternateContent>
    </comment>
  </commentList>
</comments>
</file>

<file path=xl/comments5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B28" authorId="0">
      <text>
        <r>
          <rPr>
            <sz val="10"/>
            <rFont val="Arial"/>
            <family val="2"/>
          </rPr>
          <t xml:space="preserve">Live sum of the Mass column.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</xdr:colOff>
                <xdr:row>3</xdr:row>
                <xdr:rowOff>7</xdr:rowOff>
              </xdr:to>
            </anchor>
          </commentPr>
        </mc:Choice>
        <mc:Fallback/>
      </mc:AlternateContent>
    </comment>
    <comment ref="B31" authorId="0">
      <text>
        <r>
          <rPr>
            <sz val="10"/>
            <rFont val="Arial"/>
            <family val="2"/>
          </rPr>
          <t xml:space="preserve">Height of the car's centre of gravity above the ground, mm. Higher = more weight shifts under braking/cornering.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76</xdr:colOff>
                <xdr:row>5</xdr:row>
                <xdr:rowOff>11</xdr:rowOff>
              </xdr:to>
            </anchor>
          </commentPr>
        </mc:Choice>
        <mc:Fallback/>
      </mc:AlternateContent>
    </comment>
    <comment ref="B32" authorId="0">
      <text>
        <r>
          <rPr>
            <sz val="10"/>
            <rFont val="Arial"/>
            <family val="2"/>
          </rPr>
          <t xml:space="preserve">Point-mass estimate Σ m·(dx²+dy²); replace with pendulum measurement when available.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</xdr:colOff>
                <xdr:row>3</xdr:row>
                <xdr:rowOff>10</xdr:rowOff>
              </xdr:to>
            </anchor>
          </commentPr>
        </mc:Choice>
        <mc:Fallback/>
      </mc:AlternateContent>
    </comment>
    <comment ref="B33" authorId="0">
      <text>
        <r>
          <rPr>
            <sz val="10"/>
            <rFont val="Arial"/>
            <family val="2"/>
          </rPr>
          <t xml:space="preserve">= 1 - x_cg/wheelbase. Uses wheelbase from Master.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</xdr:colOff>
                <xdr:row>3</xdr:row>
                <xdr:rowOff>7</xdr:rowOff>
              </xdr:to>
            </anchor>
          </commentPr>
        </mc:Choice>
        <mc:Fallback/>
      </mc:AlternateContent>
    </comment>
    <comment ref="C31" authorId="0">
      <text>
        <r>
          <rPr>
            <sz val="10"/>
            <rFont val="Arial"/>
            <family val="2"/>
          </rPr>
          <t xml:space="preserve">Height of the car's centre of gravity above the ground, mm. Higher = more weight shifts under braking/cornering.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76</xdr:colOff>
                <xdr:row>5</xdr:row>
                <xdr:rowOff>11</xdr:rowOff>
              </xdr:to>
            </anchor>
          </commentPr>
        </mc:Choice>
        <mc:Fallback/>
      </mc:AlternateContent>
    </comment>
  </commentList>
</comments>
</file>

<file path=xl/comments6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C7" authorId="0">
      <text>
        <r>
          <rPr>
            <sz val="10"/>
            <rFont val="Arial"/>
            <family val="2"/>
          </rPr>
          <t xml:space="preserve">Replace with scaled TTC fit at operating load.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</xdr:colOff>
                <xdr:row>3</xdr:row>
                <xdr:rowOff>7</xdr:rowOff>
              </xdr:to>
            </anchor>
          </commentPr>
        </mc:Choice>
        <mc:Fallback/>
      </mc:AlternateContent>
    </comment>
    <comment ref="C8" authorId="0">
      <text>
        <r>
          <rPr>
            <sz val="10"/>
            <rFont val="Arial"/>
            <family val="2"/>
          </rPr>
          <t xml:space="preserve">B·C·D from the MF fit.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</xdr:colOff>
                <xdr:row>3</xdr:row>
                <xdr:rowOff>7</xdr:rowOff>
              </xdr:to>
            </anchor>
          </commentPr>
        </mc:Choice>
        <mc:Fallback/>
      </mc:AlternateContent>
    </comment>
    <comment ref="C10" authorId="0">
      <text>
        <r>
          <rPr>
            <sz val="10"/>
            <rFont val="Arial"/>
            <family val="2"/>
          </rPr>
          <t xml:space="preserve">μ drop per +1 kN.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</xdr:colOff>
                <xdr:row>3</xdr:row>
                <xdr:rowOff>7</xdr:rowOff>
              </xdr:to>
            </anchor>
          </commentPr>
        </mc:Choice>
        <mc:Fallback/>
      </mc:AlternateContent>
    </comment>
    <comment ref="C11" authorId="0">
      <text>
        <r>
          <rPr>
            <sz val="10"/>
            <rFont val="Arial"/>
            <family val="2"/>
          </rPr>
          <t xml:space="preserve">Highest grip within tested range.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</xdr:colOff>
                <xdr:row>3</xdr:row>
                <xdr:rowOff>7</xdr:rowOff>
              </xdr:to>
            </anchor>
          </commentPr>
        </mc:Choice>
        <mc:Fallback/>
      </mc:AlternateContent>
    </comment>
    <comment ref="C14" authorId="0">
      <text>
        <r>
          <rPr>
            <sz val="10"/>
            <rFont val="Arial"/>
            <family val="2"/>
          </rPr>
          <t xml:space="preserve">Belt→track scaling; refine from skidpad.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</xdr:colOff>
                <xdr:row>3</xdr:row>
                <xdr:rowOff>7</xdr:rowOff>
              </xdr:to>
            </anchor>
          </commentPr>
        </mc:Choice>
        <mc:Fallback/>
      </mc:AlternateContent>
    </comment>
  </commentList>
</comments>
</file>

<file path=xl/comments7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C5" authorId="0">
      <text>
        <r>
          <rPr>
            <sz val="10"/>
            <rFont val="Arial"/>
            <family val="2"/>
          </rPr>
          <t xml:space="preserve">m·ay·h/t (h,t in m cancels mm)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</xdr:colOff>
                <xdr:row>3</xdr:row>
                <xdr:rowOff>7</xdr:rowOff>
              </xdr:to>
            </anchor>
          </commentPr>
        </mc:Choice>
        <mc:Fallback/>
      </mc:AlternateContent>
    </comment>
    <comment ref="C6" authorId="0">
      <text>
        <r>
          <rPr>
            <sz val="10"/>
            <rFont val="Arial"/>
            <family val="2"/>
          </rPr>
          <t xml:space="preserve">TLLTD_front × total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</xdr:colOff>
                <xdr:row>3</xdr:row>
                <xdr:rowOff>7</xdr:rowOff>
              </xdr:to>
            </anchor>
          </commentPr>
        </mc:Choice>
        <mc:Fallback/>
      </mc:AlternateContent>
    </comment>
    <comment ref="C7" authorId="0">
      <text>
        <r>
          <rPr>
            <sz val="10"/>
            <rFont val="Arial"/>
            <family val="2"/>
          </rPr>
          <t xml:space="preserve">(1-TLLTD) × total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</xdr:colOff>
                <xdr:row>3</xdr:row>
                <xdr:rowOff>7</xdr:rowOff>
              </xdr:to>
            </anchor>
          </commentPr>
        </mc:Choice>
        <mc:Fallback/>
      </mc:AlternateContent>
    </comment>
    <comment ref="C8" authorId="0">
      <text>
        <r>
          <rPr>
            <sz val="10"/>
            <rFont val="Arial"/>
            <family val="2"/>
          </rPr>
          <t xml:space="preserve">m·ax·h/L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</xdr:colOff>
                <xdr:row>3</xdr:row>
                <xdr:rowOff>7</xdr:rowOff>
              </xdr:to>
            </anchor>
          </commentPr>
        </mc:Choice>
        <mc:Fallback/>
      </mc:AlternateContent>
    </comment>
    <comment ref="C11" authorId="0">
      <text>
        <r>
          <rPr>
            <sz val="10"/>
            <rFont val="Arial"/>
            <family val="2"/>
          </rPr>
          <t xml:space="preserve">static front/2 + front transfer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</xdr:colOff>
                <xdr:row>3</xdr:row>
                <xdr:rowOff>7</xdr:rowOff>
              </xdr:to>
            </anchor>
          </commentPr>
        </mc:Choice>
        <mc:Fallback/>
      </mc:AlternateContent>
    </comment>
    <comment ref="C12" authorId="0">
      <text>
        <r>
          <rPr>
            <sz val="10"/>
            <rFont val="Arial"/>
            <family val="2"/>
          </rPr>
          <t xml:space="preserve">static front/2 - front transfer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</xdr:colOff>
                <xdr:row>3</xdr:row>
                <xdr:rowOff>7</xdr:rowOff>
              </xdr:to>
            </anchor>
          </commentPr>
        </mc:Choice>
        <mc:Fallback/>
      </mc:AlternateContent>
    </comment>
    <comment ref="C13" authorId="0">
      <text>
        <r>
          <rPr>
            <sz val="10"/>
            <rFont val="Arial"/>
            <family val="2"/>
          </rPr>
          <t xml:space="preserve">static rear/2 + rear transfer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</xdr:colOff>
                <xdr:row>3</xdr:row>
                <xdr:rowOff>7</xdr:rowOff>
              </xdr:to>
            </anchor>
          </commentPr>
        </mc:Choice>
        <mc:Fallback/>
      </mc:AlternateContent>
    </comment>
    <comment ref="C14" authorId="0">
      <text>
        <r>
          <rPr>
            <sz val="10"/>
            <rFont val="Arial"/>
            <family val="2"/>
          </rPr>
          <t xml:space="preserve">static rear/2 - rear transfer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</xdr:colOff>
                <xdr:row>3</xdr:row>
                <xdr:rowOff>7</xdr:rowOff>
              </xdr:to>
            </anchor>
          </commentPr>
        </mc:Choice>
        <mc:Fallback/>
      </mc:AlternateContent>
    </comment>
    <comment ref="C15" authorId="0">
      <text>
        <r>
          <rPr>
            <sz val="10"/>
            <rFont val="Arial"/>
            <family val="2"/>
          </rPr>
          <t xml:space="preserve">static front + long transfer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</xdr:colOff>
                <xdr:row>3</xdr:row>
                <xdr:rowOff>7</xdr:rowOff>
              </xdr:to>
            </anchor>
          </commentPr>
        </mc:Choice>
        <mc:Fallback/>
      </mc:AlternateContent>
    </comment>
    <comment ref="C16" authorId="0">
      <text>
        <r>
          <rPr>
            <sz val="10"/>
            <rFont val="Arial"/>
            <family val="2"/>
          </rPr>
          <t xml:space="preserve">static rear - long transfer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</xdr:colOff>
                <xdr:row>3</xdr:row>
                <xdr:rowOff>7</xdr:rowOff>
              </xdr:to>
            </anchor>
          </commentPr>
        </mc:Choice>
        <mc:Fallback/>
      </mc:AlternateContent>
    </comment>
  </commentList>
</comments>
</file>

<file path=xl/comments8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B5" authorId="0">
      <text>
        <r>
          <rPr>
            <sz val="10"/>
            <rFont val="Arial"/>
            <family val="2"/>
          </rPr>
          <t xml:space="preserve">axle mass /2 − unsprung corner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</xdr:colOff>
                <xdr:row>3</xdr:row>
                <xdr:rowOff>7</xdr:rowOff>
              </xdr:to>
            </anchor>
          </commentPr>
        </mc:Choice>
        <mc:Fallback/>
      </mc:AlternateContent>
    </comment>
    <comment ref="B6" authorId="0">
      <text>
        <r>
          <rPr>
            <sz val="10"/>
            <rFont val="Arial"/>
            <family val="2"/>
          </rPr>
          <t xml:space="preserve">(2πf)²·m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</xdr:colOff>
                <xdr:row>3</xdr:row>
                <xdr:rowOff>7</xdr:rowOff>
              </xdr:to>
            </anchor>
          </commentPr>
        </mc:Choice>
        <mc:Fallback/>
      </mc:AlternateContent>
    </comment>
    <comment ref="B7" authorId="0">
      <text>
        <r>
          <rPr>
            <sz val="10"/>
            <rFont val="Arial"/>
            <family val="2"/>
          </rPr>
          <t xml:space="preserve">wheel rate / MR² — pick nearest available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</xdr:colOff>
                <xdr:row>3</xdr:row>
                <xdr:rowOff>7</xdr:rowOff>
              </xdr:to>
            </anchor>
          </commentPr>
        </mc:Choice>
        <mc:Fallback/>
      </mc:AlternateContent>
    </comment>
    <comment ref="B10" authorId="0">
      <text>
        <r>
          <rPr>
            <sz val="10"/>
            <rFont val="Arial"/>
            <family val="2"/>
          </rPr>
          <t xml:space="preserve">≈0.88 of total is sprung; refine.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</xdr:colOff>
                <xdr:row>3</xdr:row>
                <xdr:rowOff>7</xdr:rowOff>
              </xdr:to>
            </anchor>
          </commentPr>
        </mc:Choice>
        <mc:Fallback/>
      </mc:AlternateContent>
    </comment>
    <comment ref="B11" authorId="0">
      <text>
        <r>
          <rPr>
            <sz val="10"/>
            <rFont val="Arial"/>
            <family val="2"/>
          </rPr>
          <t xml:space="preserve">Estimate from CoG height minus mean roll-centre height.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</xdr:colOff>
                <xdr:row>3</xdr:row>
                <xdr:rowOff>7</xdr:rowOff>
              </xdr:to>
            </anchor>
          </commentPr>
        </mc:Choice>
        <mc:Fallback/>
      </mc:AlternateContent>
    </comment>
    <comment ref="B12" authorId="0">
      <text>
        <r>
          <rPr>
            <sz val="10"/>
            <rFont val="Arial"/>
            <family val="2"/>
          </rPr>
          <t xml:space="preserve">Kφ = W_s·H / roll_gradient. Split front/rear per TLLTD; make up the shortfall over springs with ARBs.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</xdr:colOff>
                <xdr:row>3</xdr:row>
                <xdr:rowOff>25</xdr:rowOff>
              </xdr:to>
            </anchor>
          </commentPr>
        </mc:Choice>
        <mc:Fallback/>
      </mc:AlternateContent>
    </comment>
    <comment ref="C5" authorId="0">
      <text>
        <r>
          <rPr>
            <sz val="10"/>
            <rFont val="Arial"/>
            <family val="2"/>
          </rPr>
          <t xml:space="preserve">Mass the spring actually carries at this corner = axle mass / 2 - unsprung corner mass.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53</xdr:colOff>
                <xdr:row>5</xdr:row>
                <xdr:rowOff>11</xdr:rowOff>
              </xdr:to>
            </anchor>
          </commentPr>
        </mc:Choice>
        <mc:Fallback/>
      </mc:AlternateContent>
    </comment>
  </commentList>
</comments>
</file>

<file path=xl/comments10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B7" authorId="0">
      <text>
        <r>
          <rPr>
            <sz val="10"/>
            <rFont val="Arial"/>
            <family val="2"/>
          </rPr>
          <t xml:space="preserve">Height of the car's centre of gravity above the ground, mm. Higher = more weight shifts under braking/cornering.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39</xdr:colOff>
                <xdr:row>5</xdr:row>
                <xdr:rowOff>11</xdr:rowOff>
              </xdr:to>
            </anchor>
          </commentPr>
        </mc:Choice>
        <mc:Fallback/>
      </mc:AlternateContent>
    </comment>
    <comment ref="B8" authorId="0">
      <text>
        <r>
          <rPr>
            <sz val="10"/>
            <rFont val="Arial"/>
            <family val="2"/>
          </rPr>
          <t xml:space="preserve">Distance between front and rear axles, mm.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39</xdr:colOff>
                <xdr:row>5</xdr:row>
                <xdr:rowOff>11</xdr:rowOff>
              </xdr:to>
            </anchor>
          </commentPr>
        </mc:Choice>
        <mc:Fallback/>
      </mc:AlternateContent>
    </comment>
    <comment ref="B18" authorId="0">
      <text>
        <r>
          <rPr>
            <sz val="10"/>
            <rFont val="Arial"/>
            <family val="2"/>
          </rPr>
          <t xml:space="preserve">Steady speed on a 15.25 m skidpad at target ay — a sanity check on grip &amp; mass.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</xdr:colOff>
                <xdr:row>3</xdr:row>
                <xdr:rowOff>7</xdr:rowOff>
              </xdr:to>
            </anchor>
          </commentPr>
        </mc:Choice>
        <mc:Fallback/>
      </mc:AlternateContent>
    </comment>
    <comment ref="C7" authorId="0">
      <text>
        <r>
          <rPr>
            <sz val="10"/>
            <rFont val="Arial"/>
            <family val="2"/>
          </rPr>
          <t xml:space="preserve">Height of the car's centre of gravity above the ground, mm. Higher = more weight shifts under braking/cornering.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39</xdr:colOff>
                <xdr:row>5</xdr:row>
                <xdr:rowOff>11</xdr:rowOff>
              </xdr:to>
            </anchor>
          </commentPr>
        </mc:Choice>
        <mc:Fallback/>
      </mc:AlternateContent>
    </comment>
    <comment ref="C8" authorId="0">
      <text>
        <r>
          <rPr>
            <sz val="10"/>
            <rFont val="Arial"/>
            <family val="2"/>
          </rPr>
          <t xml:space="preserve">Distance between front and rear axles, mm.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39</xdr:colOff>
                <xdr:row>5</xdr:row>
                <xdr:rowOff>11</xdr:rowOff>
              </xdr:to>
            </anchor>
          </commentPr>
        </mc:Choice>
        <mc:Fallback/>
      </mc:AlternateContent>
    </comment>
  </commentList>
</comments>
</file>

<file path=xl/comments1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B7" authorId="0">
      <text>
        <r>
          <rPr>
            <sz val="10"/>
            <rFont val="Arial"/>
            <family val="2"/>
          </rPr>
          <t xml:space="preserve">Height of the car's centre of gravity above the ground, mm. Higher = more weight shifts under braking/cornering.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53</xdr:colOff>
                <xdr:row>5</xdr:row>
                <xdr:rowOff>7</xdr:rowOff>
              </xdr:to>
            </anchor>
          </commentPr>
        </mc:Choice>
        <mc:Fallback/>
      </mc:AlternateContent>
    </comment>
    <comment ref="B8" authorId="0">
      <text>
        <r>
          <rPr>
            <sz val="10"/>
            <rFont val="Arial"/>
            <family val="2"/>
          </rPr>
          <t xml:space="preserve">Distance between front and rear axles, mm.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53</xdr:colOff>
                <xdr:row>5</xdr:row>
                <xdr:rowOff>7</xdr:rowOff>
              </xdr:to>
            </anchor>
          </commentPr>
        </mc:Choice>
        <mc:Fallback/>
      </mc:AlternateContent>
    </comment>
    <comment ref="C7" authorId="0">
      <text>
        <r>
          <rPr>
            <sz val="10"/>
            <rFont val="Arial"/>
            <family val="2"/>
          </rPr>
          <t xml:space="preserve">Height of the car's centre of gravity above the ground, mm. Higher = more weight shifts under braking/cornering.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53</xdr:colOff>
                <xdr:row>5</xdr:row>
                <xdr:rowOff>7</xdr:rowOff>
              </xdr:to>
            </anchor>
          </commentPr>
        </mc:Choice>
        <mc:Fallback/>
      </mc:AlternateContent>
    </comment>
    <comment ref="C8" authorId="0">
      <text>
        <r>
          <rPr>
            <sz val="10"/>
            <rFont val="Arial"/>
            <family val="2"/>
          </rPr>
          <t xml:space="preserve">Distance between front and rear axles, mm.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53</xdr:colOff>
                <xdr:row>5</xdr:row>
                <xdr:rowOff>7</xdr:rowOff>
              </xdr:to>
            </anchor>
          </commentPr>
        </mc:Choice>
        <mc:Fallback/>
      </mc:AlternateContent>
    </comment>
  </commentList>
</comments>
</file>

<file path=xl/comments13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B7" authorId="0">
      <text>
        <r>
          <rPr>
            <sz val="10"/>
            <rFont val="Arial"/>
            <family val="2"/>
          </rPr>
          <t xml:space="preserve">Height of the car's centre of gravity above the ground, mm. Higher = more weight shifts under braking/cornering.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53</xdr:colOff>
                <xdr:row>5</xdr:row>
                <xdr:rowOff>7</xdr:rowOff>
              </xdr:to>
            </anchor>
          </commentPr>
        </mc:Choice>
        <mc:Fallback/>
      </mc:AlternateContent>
    </comment>
    <comment ref="B13" authorId="0">
      <text>
        <r>
          <rPr>
            <sz val="10"/>
            <rFont val="Arial"/>
            <family val="2"/>
          </rPr>
          <t xml:space="preserve">Downforce coefficient x frontal area (ClA), m^2. Bigger = more downforce. From CFD or wind tunnel.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53</xdr:colOff>
                <xdr:row>5</xdr:row>
                <xdr:rowOff>7</xdr:rowOff>
              </xdr:to>
            </anchor>
          </commentPr>
        </mc:Choice>
        <mc:Fallback/>
      </mc:AlternateContent>
    </comment>
    <comment ref="B14" authorId="0">
      <text>
        <r>
          <rPr>
            <sz val="10"/>
            <rFont val="Arial"/>
            <family val="2"/>
          </rPr>
          <t xml:space="preserve">Drag coefficient x area (CdA), m^2. Bigger = more drag (slows top speed).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53</xdr:colOff>
                <xdr:row>5</xdr:row>
                <xdr:rowOff>7</xdr:rowOff>
              </xdr:to>
            </anchor>
          </commentPr>
        </mc:Choice>
        <mc:Fallback/>
      </mc:AlternateContent>
    </comment>
    <comment ref="B15" authorId="0">
      <text>
        <r>
          <rPr>
            <sz val="10"/>
            <rFont val="Arial"/>
            <family val="2"/>
          </rPr>
          <t xml:space="preserve">Share of total downforce acting on the front axle. Must match the mechanical balance or the car won't be neutral.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53</xdr:colOff>
                <xdr:row>5</xdr:row>
                <xdr:rowOff>7</xdr:rowOff>
              </xdr:to>
            </anchor>
          </commentPr>
        </mc:Choice>
        <mc:Fallback/>
      </mc:AlternateContent>
    </comment>
    <comment ref="C7" authorId="0">
      <text>
        <r>
          <rPr>
            <sz val="10"/>
            <rFont val="Arial"/>
            <family val="2"/>
          </rPr>
          <t xml:space="preserve">Height of the car's centre of gravity above the ground, mm. Higher = more weight shifts under braking/cornering.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53</xdr:colOff>
                <xdr:row>5</xdr:row>
                <xdr:rowOff>7</xdr:rowOff>
              </xdr:to>
            </anchor>
          </commentPr>
        </mc:Choice>
        <mc:Fallback/>
      </mc:AlternateContent>
    </comment>
    <comment ref="C13" authorId="0">
      <text>
        <r>
          <rPr>
            <sz val="10"/>
            <rFont val="Arial"/>
            <family val="2"/>
          </rPr>
          <t xml:space="preserve">Downforce coefficient x frontal area (ClA), m^2. Bigger = more downforce. From CFD or wind tunnel.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53</xdr:colOff>
                <xdr:row>5</xdr:row>
                <xdr:rowOff>7</xdr:rowOff>
              </xdr:to>
            </anchor>
          </commentPr>
        </mc:Choice>
        <mc:Fallback/>
      </mc:AlternateContent>
    </comment>
    <comment ref="C14" authorId="0">
      <text>
        <r>
          <rPr>
            <sz val="10"/>
            <rFont val="Arial"/>
            <family val="2"/>
          </rPr>
          <t xml:space="preserve">Drag coefficient x area (CdA), m^2. Bigger = more drag (slows top speed).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53</xdr:colOff>
                <xdr:row>5</xdr:row>
                <xdr:rowOff>7</xdr:rowOff>
              </xdr:to>
            </anchor>
          </commentPr>
        </mc:Choice>
        <mc:Fallback/>
      </mc:AlternateContent>
    </comment>
    <comment ref="C15" authorId="0">
      <text>
        <r>
          <rPr>
            <sz val="10"/>
            <rFont val="Arial"/>
            <family val="2"/>
          </rPr>
          <t xml:space="preserve">Share of total downforce acting on the front axle. Must match the mechanical balance or the car won't be neutral.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53</xdr:colOff>
                <xdr:row>5</xdr:row>
                <xdr:rowOff>7</xdr:rowOff>
              </xdr:to>
            </anchor>
          </commentPr>
        </mc:Choice>
        <mc:Fallback/>
      </mc:AlternateContent>
    </comment>
  </commentList>
</comments>
</file>

<file path=xl/comments15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B6" authorId="0">
      <text>
        <r>
          <rPr>
            <sz val="10"/>
            <rFont val="Arial"/>
            <family val="2"/>
          </rPr>
          <t xml:space="preserve">Distance between front and rear axles, mm.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53</xdr:colOff>
                <xdr:row>5</xdr:row>
                <xdr:rowOff>7</xdr:rowOff>
              </xdr:to>
            </anchor>
          </commentPr>
        </mc:Choice>
        <mc:Fallback/>
      </mc:AlternateContent>
    </comment>
    <comment ref="B7" authorId="0">
      <text>
        <r>
          <rPr>
            <sz val="10"/>
            <rFont val="Arial"/>
            <family val="2"/>
          </rPr>
          <t xml:space="preserve">Height of the car's centre of gravity above the ground, mm. Higher = more weight shifts under braking/cornering.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53</xdr:colOff>
                <xdr:row>5</xdr:row>
                <xdr:rowOff>7</xdr:rowOff>
              </xdr:to>
            </anchor>
          </commentPr>
        </mc:Choice>
        <mc:Fallback/>
      </mc:AlternateContent>
    </comment>
    <comment ref="C6" authorId="0">
      <text>
        <r>
          <rPr>
            <sz val="10"/>
            <rFont val="Arial"/>
            <family val="2"/>
          </rPr>
          <t xml:space="preserve">Distance between front and rear axles, mm.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53</xdr:colOff>
                <xdr:row>5</xdr:row>
                <xdr:rowOff>7</xdr:rowOff>
              </xdr:to>
            </anchor>
          </commentPr>
        </mc:Choice>
        <mc:Fallback/>
      </mc:AlternateContent>
    </comment>
    <comment ref="C7" authorId="0">
      <text>
        <r>
          <rPr>
            <sz val="10"/>
            <rFont val="Arial"/>
            <family val="2"/>
          </rPr>
          <t xml:space="preserve">Height of the car's centre of gravity above the ground, mm. Higher = more weight shifts under braking/cornering.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53</xdr:colOff>
                <xdr:row>5</xdr:row>
                <xdr:rowOff>7</xdr:rowOff>
              </xdr:to>
            </anchor>
          </commentPr>
        </mc:Choice>
        <mc:Fallback/>
      </mc:AlternateContent>
    </comment>
  </commentList>
</comments>
</file>

<file path=xl/comments19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B8" authorId="0">
      <text>
        <r>
          <rPr>
            <sz val="10"/>
            <rFont val="Arial"/>
            <family val="2"/>
          </rPr>
          <t xml:space="preserve">Height of the car's centre of gravity above the ground, mm. Higher = more weight shifts under braking/cornering.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11</xdr:rowOff>
              </xdr:to>
            </anchor>
          </commentPr>
        </mc:Choice>
        <mc:Fallback/>
      </mc:AlternateContent>
    </comment>
  </commentList>
</comments>
</file>

<file path=xl/comments20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B7" authorId="0">
      <text>
        <r>
          <rPr>
            <sz val="10"/>
            <rFont val="Arial"/>
            <family val="2"/>
          </rPr>
          <t xml:space="preserve">Height of the car's centre of gravity above the ground, mm. Higher = more weight shifts under braking/cornering.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53</xdr:colOff>
                <xdr:row>5</xdr:row>
                <xdr:rowOff>11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<sst xmlns="http://schemas.openxmlformats.org/spreadsheetml/2006/main" count="1139" uniqueCount="647">
  <si>
    <t xml:space="preserve">INSTRUCTIONS — MIST BLITZ FS MASTER WORKBOOK</t>
  </si>
  <si>
    <t xml:space="preserve">Read this first. Vehicle Dynamics owns the model; every team pulls from it. Companion to the VD Handbook (Books One–Five).</t>
  </si>
  <si>
    <t xml:space="preserve">1.  WHAT THIS WORKBOOK IS</t>
  </si>
  <si>
    <t xml:space="preserve">A single source of truth for the car's numbers. The Vehicle Dynamics team owns the Master sheet. A component Mass Budget and a Tyre model feed Master automatically; VD calculation sheets turn those into loads, spring rates, load cases and lap-sim inputs; and every other sub-team has a hand-off sheet that pulls what it needs live and feeds its results back. Change one number and the whole model updates.</t>
  </si>
  <si>
    <t xml:space="preserve">2.  THE GOLDEN RULE</t>
  </si>
  <si>
    <t xml:space="preserve">No team keeps a private copy of a shared number. If it is on Master, read it from Master. If you measure something that belongs on Master (a real mass, a tested stiffness, an aero coefficient), put it in your sheet's 'give back' section and tell VD, who updates the model. Log any change to a frozen number in the ChangeLog.</t>
  </si>
  <si>
    <t xml:space="preserve">3.  CELL COLOUR LEGEND</t>
  </si>
  <si>
    <t xml:space="preserve">Blue on yellow</t>
  </si>
  <si>
    <t xml:space="preserve">Typed INPUT — you may edit this cell.</t>
  </si>
  <si>
    <t xml:space="preserve">Green text</t>
  </si>
  <si>
    <t xml:space="preserve">LINK — pulled from another sheet. Do not type over it.</t>
  </si>
  <si>
    <t xml:space="preserve">Black text</t>
  </si>
  <si>
    <t xml:space="preserve">COMPUTED here by a formula. Do not type over it.</t>
  </si>
  <si>
    <t xml:space="preserve">4.  HOW DATA FLOWS</t>
  </si>
  <si>
    <t xml:space="preserve">MassBudget + Tyre  →  Master  →  LoadTransfer / Springs / LoadCases / LapSim  →  team hand-off sheets (Chassis, Powertrain, Aero, Brakes, Telemetry, ECS)  →  Dashboard &amp; Figures summarise it. The teams' 'give back' values flow back into MassBudget and Master.</t>
  </si>
  <si>
    <t xml:space="preserve">5.  TAB-BY-TAB GUIDE</t>
  </si>
  <si>
    <t xml:space="preserve">Dashboard</t>
  </si>
  <si>
    <t xml:space="preserve">Live KPI tiles + g–g and corner-load charts. The one-glance view.</t>
  </si>
  <si>
    <t xml:space="preserve">Figures</t>
  </si>
  <si>
    <t xml:space="preserve">EDR-ready charts (tyre curve, mass breakdown, g–g). Copy into the report.</t>
  </si>
  <si>
    <t xml:space="preserve">Master</t>
  </si>
  <si>
    <t xml:space="preserve">The car's canonical numbers. VD-owned. Edit blue inputs only.</t>
  </si>
  <si>
    <t xml:space="preserve">MassBudget</t>
  </si>
  <si>
    <t xml:space="preserve">Component masses + positions → total mass, CoG, yaw inertia. Every team updates its own parts.</t>
  </si>
  <si>
    <t xml:space="preserve">Tyre</t>
  </si>
  <si>
    <t xml:space="preserve">Chosen tyre + Magic-Formula operating values. Replace placeholders with the fitted model.</t>
  </si>
  <si>
    <t xml:space="preserve">LoadTransfer / Springs / LoadCases / LapSim</t>
  </si>
  <si>
    <t xml:space="preserve">VD calculations — loads, rates, FEA cases, sim inputs. Formula-driven.</t>
  </si>
  <si>
    <t xml:space="preserve">Chassis / Powertrain / Aero / Brakes / Ergonomics / Telemetry / ECS</t>
  </si>
  <si>
    <t xml:space="preserve">Per-team hand-offs: pull from Master, give results back.</t>
  </si>
  <si>
    <t xml:space="preserve">DecisionMatrix</t>
  </si>
  <si>
    <t xml:space="preserve">Weighted (Pugh) selection template for any design choice.</t>
  </si>
  <si>
    <t xml:space="preserve">Targets</t>
  </si>
  <si>
    <t xml:space="preserve">Target vs achieved tracker — the validation story for the EDR.</t>
  </si>
  <si>
    <t xml:space="preserve">Validation</t>
  </si>
  <si>
    <t xml:space="preserve">Measured vs predicted + % error — model correlation.</t>
  </si>
  <si>
    <t xml:space="preserve">Nomenclature / Units</t>
  </si>
  <si>
    <t xml:space="preserve">Symbol list and unit conversions for the EDR.</t>
  </si>
  <si>
    <t xml:space="preserve">Setup / TestLog / Procurement / Gates / ChangeLog</t>
  </si>
  <si>
    <t xml:space="preserve">Operational trackers.</t>
  </si>
  <si>
    <t xml:space="preserve">6.  USING IT DURING THE EDR</t>
  </si>
  <si>
    <t xml:space="preserve">Figures: paste the live charts straight in. Nomenclature: your symbol table. DecisionMatrix: justify every selection. Targets &amp; Validation: the design-verification narrative judges reward. MassBudget: the mass table. LoadCases: the structural inputs. Keep the numbers in the report identical to the workbook — one source of truth means the EDR and the car never disagree.</t>
  </si>
  <si>
    <t xml:space="preserve">7.  SHARING ON ONEDRIVE</t>
  </si>
  <si>
    <t xml:space="preserve">Upload the .xlsx to OneDrive/SharePoint and share with edit rights for co-authoring in Excel on the web — multiple teams can work at once and all formulas/links keep working. Decide one VD owner for the Master sheet so inputs are not overwritten. Keep ONE master copy; do not email around forks (that breaks the single-source-of-truth rule).</t>
  </si>
  <si>
    <t xml:space="preserve">7b.  GOOGLE SHEETS &amp; LINKED TEAM FILES (recommended for this team)</t>
  </si>
  <si>
    <t xml:space="preserve">Drag this .xlsx into Google Drive and open with Google Sheets — all formulas, links and charts convert. In Google Sheets, cross-file live links actually work, so each team keeps its OWN working file and pulls the shared numbers from this master with IMPORTRANGE. In a team file: =IMPORTRANGE("&lt;master-sheet-URL&gt;","Master!C8"). The first time, click the cell and press 'Allow access' to connect the two files (one-time, per pair of files — no add-on needed). The starter team files already contain these formulas with a cell to paste the master URL into.</t>
  </si>
  <si>
    <t xml:space="preserve">Keep this master as the ONE source of truth; teams pull from it and push their results back into their hand-off tab here. No paid add-ons are required. For one-click 'export this section as an image/PDF' buttons in Google Sheets, use Apps Script (Extensions → Apps Script — free, built in); the Excel VBA above does not run in Google Sheets.</t>
  </si>
  <si>
    <t xml:space="preserve">8.  EXPORTING SECTIONS AS PICTURES / PDF</t>
  </si>
  <si>
    <t xml:space="preserve">Print areas are set so each report sheet exports cleanly. To share a table as an image: (a) select the range, Home → Copy → Copy as Picture, paste into the EDR/chat; or (b) File → Export → PDF (or Print → Save as PDF) for the active sheet; or (c) on Excel web, use the sheet's '...' → Print to PDF. Charts copy as pictures directly (right-click → Copy).</t>
  </si>
  <si>
    <t xml:space="preserve">9.  OPTIONAL MACROS (desktop Excel only — not Excel web)</t>
  </si>
  <si>
    <t xml:space="preserve">Excel on the web does not run macros, so the workbook is kept as .xlsx for universal use. If you want one-click export on desktop Excel, save a copy as .xlsm, press Alt+F11, insert a Module and paste the two macros below, then add buttons (Developer → Insert → Button) linked to them.</t>
  </si>
  <si>
    <t xml:space="preserve">Sub ExportActiveSheetPDF()</t>
  </si>
  <si>
    <t xml:space="preserve">    Dim p As String: p = ThisWorkbook.Path &amp; "\" &amp; ActiveSheet.Name &amp; ".pdf"</t>
  </si>
  <si>
    <t xml:space="preserve">    ActiveSheet.ExportAsFixedFormat Type:=xlTypePDF, Filename:=p, Quality:=xlQualityStandard</t>
  </si>
  <si>
    <t xml:space="preserve">    MsgBox "Saved: " &amp; p</t>
  </si>
  <si>
    <t xml:space="preserve">End Sub</t>
  </si>
  <si>
    <t xml:space="preserve"> </t>
  </si>
  <si>
    <t xml:space="preserve">Sub ExportSelectionAsImage()</t>
  </si>
  <si>
    <t xml:space="preserve">    Selection.CopyPicture Appearance:=xlScreen, Format:=xlPicture</t>
  </si>
  <si>
    <t xml:space="preserve">    Dim ch As ChartObject</t>
  </si>
  <si>
    <t xml:space="preserve">    Set ch = ActiveSheet.ChartObjects.Add(0, 0, Selection.Width, Selection.Height)</t>
  </si>
  <si>
    <t xml:space="preserve">    ch.Chart.Paste</t>
  </si>
  <si>
    <t xml:space="preserve">    ch.Chart.Export ThisWorkbook.Path &amp; "\" &amp; ActiveSheet.Name &amp; "_section.png"</t>
  </si>
  <si>
    <t xml:space="preserve">    ch.Delete</t>
  </si>
  <si>
    <t xml:space="preserve">    MsgBox "Section image saved next to the workbook."</t>
  </si>
  <si>
    <t xml:space="preserve">10.  UPDATE DISCIPLINE &amp; VERSIONING</t>
  </si>
  <si>
    <t xml:space="preserve">Freeze numbers at the gates (Gates tab). After a gate, any change to a frozen number goes in the ChangeLog with who/what/old→new/why. Keep the file name versioned (e.g. _v3) or rely on OneDrive version history. Re-check after every real measurement — CoG, motion ratio, mass — and update Master so the model tracks the car.</t>
  </si>
  <si>
    <t xml:space="preserve">11.  GOTCHAS</t>
  </si>
  <si>
    <t xml:space="preserve">• Green/black cells are formulas — do not type over them.   • Starter numbers are illustrative; replace with your car's.   • The tyre figure uses a simplified Magic Formula from Master μ &amp; Cα until you load the fitted model.   • Yaw inertia is a point-mass estimate — refine with a swing test.   • Keep sheet names as they are; renaming breaks cross-sheet links.</t>
  </si>
  <si>
    <t xml:space="preserve">Owner: Vehicle Dynamics team.  Author: Tahmid Muntasir Auhin, Team Captain, MIST Blitz 2024–2026.  Companion to the VD Handbook, Books One–Five.</t>
  </si>
  <si>
    <t xml:space="preserve">DASHBOARD — the car at a glance</t>
  </si>
  <si>
    <t xml:space="preserve">Live snapshot — every tile and chart updates when an input changes anywhere in the model.</t>
  </si>
  <si>
    <t xml:space="preserve">Total mass (kg)</t>
  </si>
  <si>
    <t xml:space="preserve">Front mass</t>
  </si>
  <si>
    <t xml:space="preserve">CoG height (mm)</t>
  </si>
  <si>
    <t xml:space="preserve">Yaw inertia (kg·m²)</t>
  </si>
  <si>
    <t xml:space="preserve">Target lateral (g)</t>
  </si>
  <si>
    <t xml:space="preserve">Skidpad V (m/s)</t>
  </si>
  <si>
    <t xml:space="preserve">Front spring (N/mm)</t>
  </si>
  <si>
    <t xml:space="preserve">Rear spring (N/mm)</t>
  </si>
  <si>
    <t xml:space="preserve">Brake bias (front)</t>
  </si>
  <si>
    <t xml:space="preserve">Roll gradient (deg/g)</t>
  </si>
  <si>
    <t xml:space="preserve">TEAM DATA PICKUP  —  each team: here are your live numbers from VD, and the tab with your full hand-off</t>
  </si>
  <si>
    <t xml:space="preserve">CHASSIS</t>
  </si>
  <si>
    <t xml:space="preserve">POWERTRAIN &amp; DRIVETRAIN</t>
  </si>
  <si>
    <t xml:space="preserve">Total mass target (kg)</t>
  </si>
  <si>
    <t xml:space="preserve">Rear axle load (N)</t>
  </si>
  <si>
    <t xml:space="preserve">Rear load under accel (N)</t>
  </si>
  <si>
    <t xml:space="preserve">Wheelbase (mm)</t>
  </si>
  <si>
    <t xml:space="preserve">Peak μ (traction)</t>
  </si>
  <si>
    <t xml:space="preserve">Design load — max lateral (N)</t>
  </si>
  <si>
    <t xml:space="preserve">Rolling radius (mm)</t>
  </si>
  <si>
    <t xml:space="preserve">Full hand-off → 'Chassis' tab</t>
  </si>
  <si>
    <t xml:space="preserve">Full hand-off → 'Powertrain' tab</t>
  </si>
  <si>
    <t xml:space="preserve">AERO &amp; COOLING</t>
  </si>
  <si>
    <t xml:space="preserve">BRAKING</t>
  </si>
  <si>
    <t xml:space="preserve">Front axle braking (N)</t>
  </si>
  <si>
    <t xml:space="preserve">Rear axle braking (N)</t>
  </si>
  <si>
    <t xml:space="preserve">Ride height (mm)</t>
  </si>
  <si>
    <t xml:space="preserve">Ideal front bias</t>
  </si>
  <si>
    <t xml:space="preserve">Target decel (g)</t>
  </si>
  <si>
    <t xml:space="preserve">Full hand-off → 'Aero' tab</t>
  </si>
  <si>
    <t xml:space="preserve">Full hand-off → 'Brakes' tab</t>
  </si>
  <si>
    <t xml:space="preserve">ERGONOMICS</t>
  </si>
  <si>
    <t xml:space="preserve">DAQ · TELEMETRY / ELECTRONICS</t>
  </si>
  <si>
    <t xml:space="preserve">Full hand-off → 'Ergonomics' tab</t>
  </si>
  <si>
    <t xml:space="preserve">Full hand-off → 'Telemetry' tab</t>
  </si>
  <si>
    <t xml:space="preserve">FIGURES — EDR-ready charts</t>
  </si>
  <si>
    <t xml:space="preserve">These update live from the model — copy straight into the EDR. Replace the placeholder tyre values on the Tyre sheet with your fitted Magic Formula for a defensible lateral-force figure.</t>
  </si>
  <si>
    <t xml:space="preserve">Fig A. Tyre lateral force vs slip angle (simplified Magic Formula from Master μ, Cα).</t>
  </si>
  <si>
    <t xml:space="preserve">Fig B. Mass breakdown by component (from MassBudget).</t>
  </si>
  <si>
    <t xml:space="preserve">Fig C. Per-corner vertical load at the grip limit.</t>
  </si>
  <si>
    <t xml:space="preserve">Fig D. g–g envelope (friction circle) at target grip.</t>
  </si>
  <si>
    <t xml:space="preserve">MASTER — CAR PARAMETER SHEET  (single source of truth)</t>
  </si>
  <si>
    <t xml:space="preserve">The VD team owns this sheet. GREEN cells pull from MassBudget/Tyre automatically; BLUE/yellow cells are typed inputs; BLACK cells are computed here. Every other team reads from here — do not keep private copies of these numbers.</t>
  </si>
  <si>
    <t xml:space="preserve">Parameter</t>
  </si>
  <si>
    <t xml:space="preserve">Symbol</t>
  </si>
  <si>
    <t xml:space="preserve">Value</t>
  </si>
  <si>
    <t xml:space="preserve">Unit</t>
  </si>
  <si>
    <t xml:space="preserve">Source</t>
  </si>
  <si>
    <t xml:space="preserve">Confidence</t>
  </si>
  <si>
    <t xml:space="preserve">Owner</t>
  </si>
  <si>
    <t xml:space="preserve">Updated</t>
  </si>
  <si>
    <t xml:space="preserve">Notes</t>
  </si>
  <si>
    <t xml:space="preserve">IDENTITY</t>
  </si>
  <si>
    <t xml:space="preserve">Car / season</t>
  </si>
  <si>
    <t xml:space="preserve">—</t>
  </si>
  <si>
    <t xml:space="preserve">Blitz — 2026</t>
  </si>
  <si>
    <t xml:space="preserve">VD</t>
  </si>
  <si>
    <t xml:space="preserve">2026-10-08</t>
  </si>
  <si>
    <t xml:space="preserve">Competition</t>
  </si>
  <si>
    <t xml:space="preserve">FS Combustion</t>
  </si>
  <si>
    <t xml:space="preserve">MASS &amp; INERTIA</t>
  </si>
  <si>
    <t xml:space="preserve">Total mass (with driver)</t>
  </si>
  <si>
    <t xml:space="preserve">m</t>
  </si>
  <si>
    <t xml:space="preserve">kg</t>
  </si>
  <si>
    <t xml:space="preserve">Live</t>
  </si>
  <si>
    <t xml:space="preserve">Front mass fraction</t>
  </si>
  <si>
    <t xml:space="preserve">-</t>
  </si>
  <si>
    <t xml:space="preserve">CoG height</t>
  </si>
  <si>
    <t xml:space="preserve">h</t>
  </si>
  <si>
    <t xml:space="preserve">mm</t>
  </si>
  <si>
    <t xml:space="preserve">Est</t>
  </si>
  <si>
    <t xml:space="preserve">Yaw inertia</t>
  </si>
  <si>
    <t xml:space="preserve">Izz</t>
  </si>
  <si>
    <t xml:space="preserve">kg·m²</t>
  </si>
  <si>
    <t xml:space="preserve">Unsprung mass per corner</t>
  </si>
  <si>
    <t xml:space="preserve">mu</t>
  </si>
  <si>
    <t xml:space="preserve">CAD</t>
  </si>
  <si>
    <t xml:space="preserve">GEOMETRY</t>
  </si>
  <si>
    <t xml:space="preserve">Wheelbase</t>
  </si>
  <si>
    <t xml:space="preserve">L</t>
  </si>
  <si>
    <t xml:space="preserve">Design</t>
  </si>
  <si>
    <t xml:space="preserve">Frozen@G2</t>
  </si>
  <si>
    <t xml:space="preserve">Front track</t>
  </si>
  <si>
    <t xml:space="preserve">tf</t>
  </si>
  <si>
    <t xml:space="preserve">Rear track</t>
  </si>
  <si>
    <t xml:space="preserve">tr</t>
  </si>
  <si>
    <t xml:space="preserve">Ride height</t>
  </si>
  <si>
    <t xml:space="preserve">TYRE (from Tyre sheet)</t>
  </si>
  <si>
    <t xml:space="preserve">Peak lateral μ</t>
  </si>
  <si>
    <t xml:space="preserve">μy</t>
  </si>
  <si>
    <t xml:space="preserve">Cornering stiffness</t>
  </si>
  <si>
    <t xml:space="preserve">Cα</t>
  </si>
  <si>
    <t xml:space="preserve">N/deg</t>
  </si>
  <si>
    <t xml:space="preserve">Peak slip angle</t>
  </si>
  <si>
    <t xml:space="preserve">αp</t>
  </si>
  <si>
    <t xml:space="preserve">deg</t>
  </si>
  <si>
    <t xml:space="preserve">Loaded rolling radius</t>
  </si>
  <si>
    <t xml:space="preserve">Re</t>
  </si>
  <si>
    <t xml:space="preserve">TARGETS</t>
  </si>
  <si>
    <t xml:space="preserve">Target lateral accel</t>
  </si>
  <si>
    <t xml:space="preserve">ay</t>
  </si>
  <si>
    <t xml:space="preserve">g</t>
  </si>
  <si>
    <t xml:space="preserve">Lap sim</t>
  </si>
  <si>
    <t xml:space="preserve">Target braking decel</t>
  </si>
  <si>
    <t xml:space="preserve">ax</t>
  </si>
  <si>
    <t xml:space="preserve">Brake calc</t>
  </si>
  <si>
    <t xml:space="preserve">Braking</t>
  </si>
  <si>
    <t xml:space="preserve">Roll gradient target</t>
  </si>
  <si>
    <t xml:space="preserve">deg/g</t>
  </si>
  <si>
    <t xml:space="preserve">Ride frequency front</t>
  </si>
  <si>
    <t xml:space="preserve">ff</t>
  </si>
  <si>
    <t xml:space="preserve">Hz</t>
  </si>
  <si>
    <t xml:space="preserve">Ride frequency rear</t>
  </si>
  <si>
    <t xml:space="preserve">fr</t>
  </si>
  <si>
    <t xml:space="preserve">TLLTD (front share)</t>
  </si>
  <si>
    <t xml:space="preserve">Motion ratio (wheel→spring)</t>
  </si>
  <si>
    <t xml:space="preserve">MR</t>
  </si>
  <si>
    <t xml:space="preserve">Verify on car</t>
  </si>
  <si>
    <t xml:space="preserve">DERIVED (computed here)</t>
  </si>
  <si>
    <t xml:space="preserve">Weight</t>
  </si>
  <si>
    <t xml:space="preserve">W</t>
  </si>
  <si>
    <t xml:space="preserve">N</t>
  </si>
  <si>
    <t xml:space="preserve">m×g</t>
  </si>
  <si>
    <t xml:space="preserve">Front axle static load</t>
  </si>
  <si>
    <t xml:space="preserve">Wf</t>
  </si>
  <si>
    <t xml:space="preserve">calc</t>
  </si>
  <si>
    <t xml:space="preserve">Rear axle static load</t>
  </si>
  <si>
    <t xml:space="preserve">Wr</t>
  </si>
  <si>
    <t xml:space="preserve">Avg track</t>
  </si>
  <si>
    <t xml:space="preserve">t</t>
  </si>
  <si>
    <t xml:space="preserve">MASS BUDGET  —  live component list (VD-owned)</t>
  </si>
  <si>
    <t xml:space="preserve">Fill blue/yellow cells. Totals + CoG + yaw inertia compute automatically and feed the Master sheet. x = aft of front axle, y = +left of centreline, z = height above ground.</t>
  </si>
  <si>
    <t xml:space="preserve">Component</t>
  </si>
  <si>
    <t xml:space="preserve">Mass (kg)</t>
  </si>
  <si>
    <t xml:space="preserve">x from front axle (mm)</t>
  </si>
  <si>
    <t xml:space="preserve">y from CL (mm)</t>
  </si>
  <si>
    <t xml:space="preserve">z height (mm)</t>
  </si>
  <si>
    <t xml:space="preserve">Status</t>
  </si>
  <si>
    <t xml:space="preserve">Engine + fluids</t>
  </si>
  <si>
    <t xml:space="preserve">Powertrain</t>
  </si>
  <si>
    <t xml:space="preserve">Chassis + mounts</t>
  </si>
  <si>
    <t xml:space="preserve">Chassis</t>
  </si>
  <si>
    <t xml:space="preserve">Driver (strapped)</t>
  </si>
  <si>
    <t xml:space="preserve">Rules</t>
  </si>
  <si>
    <t xml:space="preserve">Differential + chain</t>
  </si>
  <si>
    <t xml:space="preserve">Axles + CV joints</t>
  </si>
  <si>
    <t xml:space="preserve">Fuel (half tank)</t>
  </si>
  <si>
    <t xml:space="preserve">Cooling (radiator+fluid)</t>
  </si>
  <si>
    <t xml:space="preserve">Aero&amp;Cooling</t>
  </si>
  <si>
    <t xml:space="preserve">Front suspension (x2)</t>
  </si>
  <si>
    <t xml:space="preserve">Rear suspension (x2)</t>
  </si>
  <si>
    <t xml:space="preserve">Wheels + tyres (front x2)</t>
  </si>
  <si>
    <t xml:space="preserve">Supplier</t>
  </si>
  <si>
    <t xml:space="preserve">Wheels + tyres (rear x2)</t>
  </si>
  <si>
    <t xml:space="preserve">Bodywork + undertray</t>
  </si>
  <si>
    <t xml:space="preserve">Battery</t>
  </si>
  <si>
    <t xml:space="preserve">ECS</t>
  </si>
  <si>
    <t xml:space="preserve">Wiring harness + ECU</t>
  </si>
  <si>
    <t xml:space="preserve">Brake system</t>
  </si>
  <si>
    <t xml:space="preserve">Pedal box + steering</t>
  </si>
  <si>
    <t xml:space="preserve">Seat + belts + padding</t>
  </si>
  <si>
    <t xml:space="preserve">DAQ + sensors</t>
  </si>
  <si>
    <t xml:space="preserve">Telemetry</t>
  </si>
  <si>
    <t xml:space="preserve">COMPUTED (feeds Master — do not type over)</t>
  </si>
  <si>
    <t xml:space="preserve">x_cg from front axle</t>
  </si>
  <si>
    <t xml:space="preserve">y_cg from centreline</t>
  </si>
  <si>
    <t xml:space="preserve">CoG height (z_cg)</t>
  </si>
  <si>
    <t xml:space="preserve">Yaw inertia Izz (estimate)</t>
  </si>
  <si>
    <t xml:space="preserve">TYRE MODEL  —  chosen tyre &amp; operating values (VD-owned)</t>
  </si>
  <si>
    <t xml:space="preserve">From the TTC Magic-Formula fit (Book One). Until fitted, use placeholder values and mark Confidence = Placeholder. Feeds Master, LapSim and LoadCases.</t>
  </si>
  <si>
    <t xml:space="preserve">Source / Confidence</t>
  </si>
  <si>
    <t xml:space="preserve">Tyre size</t>
  </si>
  <si>
    <t xml:space="preserve">18×7.7-10</t>
  </si>
  <si>
    <t xml:space="preserve">Chosen</t>
  </si>
  <si>
    <t xml:space="preserve">Compound</t>
  </si>
  <si>
    <t xml:space="preserve">Peak lateral μ (track-scaled)</t>
  </si>
  <si>
    <t xml:space="preserve">Placeholder</t>
  </si>
  <si>
    <t xml:space="preserve">Cornering stiffness (op. load)</t>
  </si>
  <si>
    <t xml:space="preserve">Load sensitivity</t>
  </si>
  <si>
    <t xml:space="preserve">∂μ/∂Fz</t>
  </si>
  <si>
    <t xml:space="preserve">/kN</t>
  </si>
  <si>
    <t xml:space="preserve">Baseline pressure (hot)</t>
  </si>
  <si>
    <t xml:space="preserve">P</t>
  </si>
  <si>
    <t xml:space="preserve">kPa</t>
  </si>
  <si>
    <t xml:space="preserve">Static camber front</t>
  </si>
  <si>
    <t xml:space="preserve">γf</t>
  </si>
  <si>
    <t xml:space="preserve">Baseline</t>
  </si>
  <si>
    <t xml:space="preserve">Static camber rear</t>
  </si>
  <si>
    <t xml:space="preserve">γr</t>
  </si>
  <si>
    <t xml:space="preserve">Friction scaling factor</t>
  </si>
  <si>
    <t xml:space="preserve">λμ</t>
  </si>
  <si>
    <t xml:space="preserve">Assumed</t>
  </si>
  <si>
    <t xml:space="preserve">CAD/Supplier</t>
  </si>
  <si>
    <t xml:space="preserve">LOAD TRANSFER &amp; BALANCE  (VD calc)</t>
  </si>
  <si>
    <t xml:space="preserve">All values pull from Master and recompute automatically. Simplified setup-level model: lateral transfer split front/rear by TLLTD; braking transfer about the wheelbase. Feeds LoadCases, Brakes and Powertrain.</t>
  </si>
  <si>
    <t xml:space="preserve">Quantity</t>
  </si>
  <si>
    <t xml:space="preserve">Formula / assumption</t>
  </si>
  <si>
    <t xml:space="preserve">Total lateral load transfer</t>
  </si>
  <si>
    <t xml:space="preserve">ΔWt</t>
  </si>
  <si>
    <t xml:space="preserve">m·ay·h/t (h,t in m cancels mm)</t>
  </si>
  <si>
    <t xml:space="preserve">Front axle lateral transfer</t>
  </si>
  <si>
    <t xml:space="preserve">ΔWf</t>
  </si>
  <si>
    <t xml:space="preserve">TLLTD_front × total</t>
  </si>
  <si>
    <t xml:space="preserve">Rear axle lateral transfer</t>
  </si>
  <si>
    <t xml:space="preserve">ΔWr</t>
  </si>
  <si>
    <t xml:space="preserve">(1-TLLTD) × total</t>
  </si>
  <si>
    <t xml:space="preserve">Longitudinal transfer (braking)</t>
  </si>
  <si>
    <t xml:space="preserve">ΔWx</t>
  </si>
  <si>
    <t xml:space="preserve">m·ax·h/L</t>
  </si>
  <si>
    <t xml:space="preserve">PER-CORNER VERTICAL LOAD AT THE LIMIT (N)</t>
  </si>
  <si>
    <t xml:space="preserve">Corner</t>
  </si>
  <si>
    <t xml:space="preserve">Load (N)</t>
  </si>
  <si>
    <t xml:space="preserve">Formula</t>
  </si>
  <si>
    <t xml:space="preserve">Outer front</t>
  </si>
  <si>
    <t xml:space="preserve">static front/2 + front transfer</t>
  </si>
  <si>
    <t xml:space="preserve">Inner front</t>
  </si>
  <si>
    <t xml:space="preserve">static front/2 - front transfer</t>
  </si>
  <si>
    <t xml:space="preserve">Outer rear</t>
  </si>
  <si>
    <t xml:space="preserve">static rear/2 + rear transfer</t>
  </si>
  <si>
    <t xml:space="preserve">Inner rear</t>
  </si>
  <si>
    <t xml:space="preserve">static rear/2 - rear transfer</t>
  </si>
  <si>
    <t xml:space="preserve">Front axle under braking</t>
  </si>
  <si>
    <t xml:space="preserve">static front + long transfer</t>
  </si>
  <si>
    <t xml:space="preserve">Rear axle under braking</t>
  </si>
  <si>
    <t xml:space="preserve">static rear - long transfer</t>
  </si>
  <si>
    <t xml:space="preserve">SPRINGS, ROLL &amp; DAMPERS  (VD calc)</t>
  </si>
  <si>
    <t xml:space="preserve">Ride-frequency method. Sprung corner mass from Master; wheel rate and spring rate computed through the motion ratio. Order the nearest available spring and re-check the frequency.</t>
  </si>
  <si>
    <t xml:space="preserve">Front</t>
  </si>
  <si>
    <t xml:space="preserve">Rear</t>
  </si>
  <si>
    <t xml:space="preserve">Formula / note</t>
  </si>
  <si>
    <t xml:space="preserve">Sprung corner mass</t>
  </si>
  <si>
    <t xml:space="preserve">axle mass /2 − unsprung corner</t>
  </si>
  <si>
    <t xml:space="preserve">Wheel rate</t>
  </si>
  <si>
    <t xml:space="preserve">N/mm</t>
  </si>
  <si>
    <t xml:space="preserve">(2πf)²·m</t>
  </si>
  <si>
    <t xml:space="preserve">Spring rate (through MR)</t>
  </si>
  <si>
    <t xml:space="preserve">wheel rate / MR² — pick nearest available</t>
  </si>
  <si>
    <t xml:space="preserve">ROLL (estimate — fill the two inputs)</t>
  </si>
  <si>
    <t xml:space="preserve">Sprung weight</t>
  </si>
  <si>
    <t xml:space="preserve">Sprung CoG above roll axis (H)</t>
  </si>
  <si>
    <t xml:space="preserve">Required total roll stiffness</t>
  </si>
  <si>
    <t xml:space="preserve">N·m/deg</t>
  </si>
  <si>
    <t xml:space="preserve">STRUCTURAL LOAD CASES  (VD → Chassis / Structures)</t>
  </si>
  <si>
    <t xml:space="preserve">Peak tyre forces for FEA, built from the tyre μ and the per-corner loads in LoadTransfer. Enter a dynamic magnification factor (DMF) per case; the design load is the base load × DMF.</t>
  </si>
  <si>
    <t xml:space="preserve">Load case</t>
  </si>
  <si>
    <t xml:space="preserve">Vertical Fz (N)</t>
  </si>
  <si>
    <t xml:space="preserve">Lateral Fy (N)</t>
  </si>
  <si>
    <t xml:space="preserve">Longitudinal Fx (N)</t>
  </si>
  <si>
    <t xml:space="preserve">DMF</t>
  </si>
  <si>
    <t xml:space="preserve">Design Fz (N)</t>
  </si>
  <si>
    <t xml:space="preserve">Max lateral (outer front)</t>
  </si>
  <si>
    <t xml:space="preserve">0</t>
  </si>
  <si>
    <t xml:space="preserve">Max lateral (outer rear)</t>
  </si>
  <si>
    <t xml:space="preserve">Max braking (front axle)</t>
  </si>
  <si>
    <t xml:space="preserve">Combined (outer front)</t>
  </si>
  <si>
    <t xml:space="preserve">Bump / kerb strike (per corner)</t>
  </si>
  <si>
    <t xml:space="preserve">FEA targets: FoS ≥ 1.5 on yield (ductile), buckling FoS ≥ 2–3 on struts, and check stiffness (upright camber-compliance &lt; ~0.1–0.2° at max lateral).</t>
  </si>
  <si>
    <t xml:space="preserve">LAP-SIM INPUTS  (VD → everyone)</t>
  </si>
  <si>
    <t xml:space="preserve">Everything the lap simulation needs, in one place, pulling from Master, Tyre and Aero. Keep the sim reading from here so it never drifts from the car.</t>
  </si>
  <si>
    <t xml:space="preserve">Total mass</t>
  </si>
  <si>
    <t xml:space="preserve">Front / rear track</t>
  </si>
  <si>
    <t xml:space="preserve">Downforce coeff (Cl·A)</t>
  </si>
  <si>
    <t xml:space="preserve">m²</t>
  </si>
  <si>
    <t xml:space="preserve">Aero</t>
  </si>
  <si>
    <t xml:space="preserve">Drag coeff (Cd·A)</t>
  </si>
  <si>
    <t xml:space="preserve">Engine peak power</t>
  </si>
  <si>
    <t xml:space="preserve">kW</t>
  </si>
  <si>
    <t xml:space="preserve">Final drive ratio</t>
  </si>
  <si>
    <t xml:space="preserve">Skidpad check: V =</t>
  </si>
  <si>
    <t xml:space="preserve">m/s</t>
  </si>
  <si>
    <t xml:space="preserve">CHASSIS  —  hand-off from VD</t>
  </si>
  <si>
    <t xml:space="preserve">Mass target, load cases and hardpoints come from VD. Return the as-built mass and measured stiffness.</t>
  </si>
  <si>
    <t xml:space="preserve">WHAT VD GIVES YOU  (pulled live — do not edit)</t>
  </si>
  <si>
    <t xml:space="preserve">Total mass target</t>
  </si>
  <si>
    <t xml:space="preserve">Design load (max lateral)</t>
  </si>
  <si>
    <t xml:space="preserve">LoadCases</t>
  </si>
  <si>
    <t xml:space="preserve">Design load (combined)</t>
  </si>
  <si>
    <t xml:space="preserve">WHAT YOU GIVE BACK TO VD  (fill these — they feed the model)</t>
  </si>
  <si>
    <t xml:space="preserve">Chassis mass (as built)</t>
  </si>
  <si>
    <t xml:space="preserve">Feeds the mass budget row — update MassBudget.</t>
  </si>
  <si>
    <t xml:space="preserve">Torsional stiffness target</t>
  </si>
  <si>
    <t xml:space="preserve">Usually set a few × total roll stiffness.</t>
  </si>
  <si>
    <t xml:space="preserve">Torsional stiffness (measured)</t>
  </si>
  <si>
    <t xml:space="preserve">From the twist test.</t>
  </si>
  <si>
    <t xml:space="preserve">First structural mode</t>
  </si>
  <si>
    <t xml:space="preserve">Keep above engine excitation.</t>
  </si>
  <si>
    <t xml:space="preserve">Hardpoints are frozen by VD at Gate G3 and live in the kinematics file; copy the pickup coordinates here if the chassis team prefers them in one place.</t>
  </si>
  <si>
    <t xml:space="preserve">POWERTRAIN &amp; DRIVETRAIN  —  hand-off</t>
  </si>
  <si>
    <t xml:space="preserve">Mass, loads and the traction limit come from VD. Return the engine and driveline numbers the lap sim needs.</t>
  </si>
  <si>
    <t xml:space="preserve">Rear axle load under accel</t>
  </si>
  <si>
    <t xml:space="preserve">LoadTransfer</t>
  </si>
  <si>
    <t xml:space="preserve">Peak μ (for traction limit)</t>
  </si>
  <si>
    <t xml:space="preserve">Traction-limited rear force</t>
  </si>
  <si>
    <t xml:space="preserve">μ × rear dynamic load</t>
  </si>
  <si>
    <t xml:space="preserve">Lap sim input.</t>
  </si>
  <si>
    <t xml:space="preserve">Engine peak torque</t>
  </si>
  <si>
    <t xml:space="preserve">N·m</t>
  </si>
  <si>
    <t xml:space="preserve">Diff type / ramps</t>
  </si>
  <si>
    <t xml:space="preserve">Salisbury LSD</t>
  </si>
  <si>
    <t xml:space="preserve">Entry/exit balance tool.</t>
  </si>
  <si>
    <t xml:space="preserve">Max torque per wheel</t>
  </si>
  <si>
    <t xml:space="preserve">Compare to traction-limited × Re.</t>
  </si>
  <si>
    <t xml:space="preserve">AERO &amp; COOLING  —  hand-off</t>
  </si>
  <si>
    <t xml:space="preserve">Platform and target numbers come from VD; return the aero map so the lap sim and balance are correct at speed.</t>
  </si>
  <si>
    <t xml:space="preserve">Cl·A (downforce coeff)</t>
  </si>
  <si>
    <t xml:space="preserve">Lap sim input (LapSim reads C8).</t>
  </si>
  <si>
    <t xml:space="preserve">Cd·A (drag coeff)</t>
  </si>
  <si>
    <t xml:space="preserve">Lap sim input (LapSim reads C9).</t>
  </si>
  <si>
    <t xml:space="preserve">Aero balance (front share)</t>
  </si>
  <si>
    <t xml:space="preserve">% of downforce on the front axle.</t>
  </si>
  <si>
    <t xml:space="preserve">Downforce at 60 km/h</t>
  </si>
  <si>
    <t xml:space="preserve">0.5·ρ·V²·ClA; ρ≈1.18.</t>
  </si>
  <si>
    <t xml:space="preserve">Platform sensitivity</t>
  </si>
  <si>
    <t xml:space="preserve">Downforce change with ride height / rake.</t>
  </si>
  <si>
    <t xml:space="preserve">If running no aero, leave Cl·A and Cd·A at 0 — the lap sim then treats the car as non-aero.</t>
  </si>
  <si>
    <t xml:space="preserve">BRAKING  —  hand-off</t>
  </si>
  <si>
    <t xml:space="preserve">Dynamic axle loads come from VD; compute the ideal bias and return the hardware that achieves it.</t>
  </si>
  <si>
    <t xml:space="preserve">Ideal brake bias (front)</t>
  </si>
  <si>
    <t xml:space="preserve">front dynamic / total weight</t>
  </si>
  <si>
    <t xml:space="preserve">Target decel</t>
  </si>
  <si>
    <t xml:space="preserve">Peak μ (lock-up limit)</t>
  </si>
  <si>
    <t xml:space="preserve">Tyre — decel cannot exceed this</t>
  </si>
  <si>
    <t xml:space="preserve">Rotor effective radius</t>
  </si>
  <si>
    <t xml:space="preserve">Caliper piston area</t>
  </si>
  <si>
    <t xml:space="preserve">mm²</t>
  </si>
  <si>
    <t xml:space="preserve">Pad friction μ</t>
  </si>
  <si>
    <t xml:space="preserve">MC sizes (F / R)</t>
  </si>
  <si>
    <t xml:space="preserve">Set the bias with these + bias bar.</t>
  </si>
  <si>
    <t xml:space="preserve">Achieved bias (front)</t>
  </si>
  <si>
    <t xml:space="preserve">Match to the ideal bias above.</t>
  </si>
  <si>
    <t xml:space="preserve">ERGONOMICS / DRIVER PACKAGE  —  hand-off</t>
  </si>
  <si>
    <t xml:space="preserve">Wheelbase and mass context come from VD; return the driver-package numbers that feed the mass budget and the cockpit.</t>
  </si>
  <si>
    <t xml:space="preserve">Driver mass (strapped)</t>
  </si>
  <si>
    <t xml:space="preserve">Update the Driver row in MassBudget.</t>
  </si>
  <si>
    <t xml:space="preserve">Driver CoG height</t>
  </si>
  <si>
    <t xml:space="preserve">Feeds CoG height via MassBudget.</t>
  </si>
  <si>
    <t xml:space="preserve">Seat back angle</t>
  </si>
  <si>
    <t xml:space="preserve">Comfort + roll-hoop clearance.</t>
  </si>
  <si>
    <t xml:space="preserve">Pedal-box adjustment range</t>
  </si>
  <si>
    <t xml:space="preserve">Fit 5th–95th percentile.</t>
  </si>
  <si>
    <t xml:space="preserve">Steering wheel reach</t>
  </si>
  <si>
    <t xml:space="preserve">Roll-hoop helmet clearance</t>
  </si>
  <si>
    <t xml:space="preserve">≥ rule minimum.</t>
  </si>
  <si>
    <t xml:space="preserve">Egress target: driver out in &lt; 5 s (practise it). Confirm 95th-percentile fit AND 5th-percentile reach to all controls.</t>
  </si>
  <si>
    <t xml:space="preserve">TELEMETRY &amp; DRIVER  —  channel plan &amp; debrief</t>
  </si>
  <si>
    <t xml:space="preserve">Reference the VD team hands to Telemetry. Sample rates from Book Two, Part K. Add CAN IDs as the harness is built.</t>
  </si>
  <si>
    <t xml:space="preserve">Channel</t>
  </si>
  <si>
    <t xml:space="preserve">Sensor</t>
  </si>
  <si>
    <t xml:space="preserve">Sample rate</t>
  </si>
  <si>
    <t xml:space="preserve">VD use</t>
  </si>
  <si>
    <t xml:space="preserve">Damper position ×4</t>
  </si>
  <si>
    <t xml:space="preserve">Linear pot</t>
  </si>
  <si>
    <t xml:space="preserve">200–1000 Hz</t>
  </si>
  <si>
    <t xml:space="preserve">Ride height, roll, pitch, damper velocity</t>
  </si>
  <si>
    <t xml:space="preserve">Accel x/y/z</t>
  </si>
  <si>
    <t xml:space="preserve">IMU</t>
  </si>
  <si>
    <t xml:space="preserve">100–500 Hz</t>
  </si>
  <si>
    <t xml:space="preserve">Load transfer, g-g</t>
  </si>
  <si>
    <t xml:space="preserve">Yaw/roll/pitch rate</t>
  </si>
  <si>
    <t xml:space="preserve">IMU gyro</t>
  </si>
  <si>
    <t xml:space="preserve">Yaw response, stability</t>
  </si>
  <si>
    <t xml:space="preserve">Wheel speed ×4</t>
  </si>
  <si>
    <t xml:space="preserve">Hall + ring</t>
  </si>
  <si>
    <t xml:space="preserve">Slip ratio, lock-up</t>
  </si>
  <si>
    <t xml:space="preserve">Steering angle</t>
  </si>
  <si>
    <t xml:space="preserve">Rotary</t>
  </si>
  <si>
    <t xml:space="preserve">100–200 Hz</t>
  </si>
  <si>
    <t xml:space="preserve">Understeer gradient, Ackermann</t>
  </si>
  <si>
    <t xml:space="preserve">Brake pressure F/R</t>
  </si>
  <si>
    <t xml:space="preserve">Transducer</t>
  </si>
  <si>
    <t xml:space="preserve">Bias, threshold braking</t>
  </si>
  <si>
    <t xml:space="preserve">Throttle</t>
  </si>
  <si>
    <t xml:space="preserve">APPS/TPS</t>
  </si>
  <si>
    <t xml:space="preserve">On/off-throttle balance</t>
  </si>
  <si>
    <t xml:space="preserve">Pushrod load</t>
  </si>
  <si>
    <t xml:space="preserve">Strain gauge</t>
  </si>
  <si>
    <t xml:space="preserve">True tyre load, contact-patch variation</t>
  </si>
  <si>
    <t xml:space="preserve">Tyre temp / pressure</t>
  </si>
  <si>
    <t xml:space="preserve">IR / TPMS</t>
  </si>
  <si>
    <t xml:space="preserve">10–25 Hz</t>
  </si>
  <si>
    <t xml:space="preserve">Camber/pressure, thermal window</t>
  </si>
  <si>
    <t xml:space="preserve">GPS</t>
  </si>
  <si>
    <t xml:space="preserve">Lap/segment time, track map</t>
  </si>
  <si>
    <t xml:space="preserve">ECS / ELECTRICAL  —  reference &amp; returns</t>
  </si>
  <si>
    <t xml:space="preserve">Power and wiring reference. Return battery and stator numbers so the mass budget and lap sim stay correct.</t>
  </si>
  <si>
    <t xml:space="preserve">Item</t>
  </si>
  <si>
    <t xml:space="preserve">12V 9Ah</t>
  </si>
  <si>
    <t xml:space="preserve">Mass feeds MassBudget</t>
  </si>
  <si>
    <t xml:space="preserve">Battery mass</t>
  </si>
  <si>
    <t xml:space="preserve">4.0</t>
  </si>
  <si>
    <t xml:space="preserve">Update MassBudget row</t>
  </si>
  <si>
    <t xml:space="preserve">Main fuse</t>
  </si>
  <si>
    <t xml:space="preserve">150</t>
  </si>
  <si>
    <t xml:space="preserve">A</t>
  </si>
  <si>
    <t xml:space="preserve">Resettable</t>
  </si>
  <si>
    <t xml:space="preserve">Stator output</t>
  </si>
  <si>
    <t xml:space="preserve">296</t>
  </si>
  <si>
    <t xml:space="preserve">Charging budget</t>
  </si>
  <si>
    <t xml:space="preserve">Grounding</t>
  </si>
  <si>
    <t xml:space="preserve">Star at battery</t>
  </si>
  <si>
    <t xml:space="preserve">Clean DAQ foundation</t>
  </si>
  <si>
    <t xml:space="preserve">Harness wire</t>
  </si>
  <si>
    <t xml:space="preserve">UL1332 PTFE</t>
  </si>
  <si>
    <t xml:space="preserve">Per Book Two</t>
  </si>
  <si>
    <t xml:space="preserve">WEIGHTED DECISION MATRIX  (Pugh)</t>
  </si>
  <si>
    <t xml:space="preserve">Score each option 1–5 against the weighted criteria; the weighted total picks the defensible choice. Copy the method for any pick (tyre, damper, material) — judges love this in the design event.</t>
  </si>
  <si>
    <t xml:space="preserve">Criterion</t>
  </si>
  <si>
    <t xml:space="preserve">Weight (1–5)</t>
  </si>
  <si>
    <t xml:space="preserve">Option A (18×6)</t>
  </si>
  <si>
    <t xml:space="preserve">Option B (18×7.5)</t>
  </si>
  <si>
    <t xml:space="preserve">Option C (other)</t>
  </si>
  <si>
    <t xml:space="preserve">Peak grip</t>
  </si>
  <si>
    <t xml:space="preserve">Mass / inertia</t>
  </si>
  <si>
    <t xml:space="preserve">Data availability</t>
  </si>
  <si>
    <t xml:space="preserve">Cost / supply</t>
  </si>
  <si>
    <t xml:space="preserve">Weighted total</t>
  </si>
  <si>
    <t xml:space="preserve">Highest weighted total = the choice. Name the two or three criteria that decided it when you present it.</t>
  </si>
  <si>
    <t xml:space="preserve">TARGETS vs ACHIEVED</t>
  </si>
  <si>
    <t xml:space="preserve">Target pulls from the model; type the achieved/measured value. For EDR and the validation story. Note the 'better' direction per row — lower is better for mass and CoG.</t>
  </si>
  <si>
    <t xml:space="preserve">Metric</t>
  </si>
  <si>
    <t xml:space="preserve">Target</t>
  </si>
  <si>
    <t xml:space="preserve">Achieved</t>
  </si>
  <si>
    <t xml:space="preserve">% of target</t>
  </si>
  <si>
    <t xml:space="preserve">Better</t>
  </si>
  <si>
    <t xml:space="preserve">Lateral acceleration</t>
  </si>
  <si>
    <t xml:space="preserve">higher</t>
  </si>
  <si>
    <t xml:space="preserve">Braking deceleration</t>
  </si>
  <si>
    <t xml:space="preserve">lower</t>
  </si>
  <si>
    <t xml:space="preserve">Roll gradient</t>
  </si>
  <si>
    <t xml:space="preserve">target</t>
  </si>
  <si>
    <t xml:space="preserve">Front ride frequency</t>
  </si>
  <si>
    <t xml:space="preserve">Torsional stiffness</t>
  </si>
  <si>
    <t xml:space="preserve">MODEL VALIDATION  (measured vs predicted)</t>
  </si>
  <si>
    <t xml:space="preserve">Predicted pulls from the model; type what you measured on the car. %error shows how well the model matches reality (Book Five, Chapter 8).</t>
  </si>
  <si>
    <t xml:space="preserve">Predicted</t>
  </si>
  <si>
    <t xml:space="preserve">Measured</t>
  </si>
  <si>
    <t xml:space="preserve">% error</t>
  </si>
  <si>
    <t xml:space="preserve">Skidpad lateral g (≈ μ)</t>
  </si>
  <si>
    <t xml:space="preserve">Understeer gradient</t>
  </si>
  <si>
    <t xml:space="preserve">Contact-patch load variation (RMS)</t>
  </si>
  <si>
    <t xml:space="preserve">NOMENCLATURE  (for the EDR)</t>
  </si>
  <si>
    <t xml:space="preserve">Standard symbols used across the handbook and this workbook.</t>
  </si>
  <si>
    <t xml:space="preserve">Vehicle mass</t>
  </si>
  <si>
    <t xml:space="preserve">h_cg</t>
  </si>
  <si>
    <t xml:space="preserve">Track</t>
  </si>
  <si>
    <t xml:space="preserve">Yaw moment of inertia</t>
  </si>
  <si>
    <t xml:space="preserve">ay/ax</t>
  </si>
  <si>
    <t xml:space="preserve">Lateral / longitudinal accel</t>
  </si>
  <si>
    <t xml:space="preserve">ΔFz</t>
  </si>
  <si>
    <t xml:space="preserve">Load transfer</t>
  </si>
  <si>
    <t xml:space="preserve">Peak lateral friction coeff</t>
  </si>
  <si>
    <t xml:space="preserve">α</t>
  </si>
  <si>
    <t xml:space="preserve">Slip angle</t>
  </si>
  <si>
    <t xml:space="preserve">κ</t>
  </si>
  <si>
    <t xml:space="preserve">Slip ratio</t>
  </si>
  <si>
    <t xml:space="preserve">γ</t>
  </si>
  <si>
    <t xml:space="preserve">Camber angle</t>
  </si>
  <si>
    <t xml:space="preserve">Fy/Fx/Fz</t>
  </si>
  <si>
    <t xml:space="preserve">Lateral/long/vertical force</t>
  </si>
  <si>
    <t xml:space="preserve">Mz</t>
  </si>
  <si>
    <t xml:space="preserve">Aligning moment</t>
  </si>
  <si>
    <t xml:space="preserve">K</t>
  </si>
  <si>
    <t xml:space="preserve">TLLTD</t>
  </si>
  <si>
    <t xml:space="preserve">Lateral load-transfer distribution</t>
  </si>
  <si>
    <t xml:space="preserve">%</t>
  </si>
  <si>
    <t xml:space="preserve">Motion ratio</t>
  </si>
  <si>
    <t xml:space="preserve">f</t>
  </si>
  <si>
    <t xml:space="preserve">Ride frequency</t>
  </si>
  <si>
    <t xml:space="preserve">ζ</t>
  </si>
  <si>
    <t xml:space="preserve">Damping ratio</t>
  </si>
  <si>
    <t xml:space="preserve">φ</t>
  </si>
  <si>
    <t xml:space="preserve">Roll angle</t>
  </si>
  <si>
    <t xml:space="preserve">Dynamic magnification factor</t>
  </si>
  <si>
    <t xml:space="preserve">FoS</t>
  </si>
  <si>
    <t xml:space="preserve">Factor of safety</t>
  </si>
  <si>
    <t xml:space="preserve">UNITS &amp; CONVERSIONS</t>
  </si>
  <si>
    <t xml:space="preserve">Reference factors + a live converter. Type a value and pick a factor; the result computes.</t>
  </si>
  <si>
    <t xml:space="preserve">From</t>
  </si>
  <si>
    <t xml:space="preserve">To</t>
  </si>
  <si>
    <t xml:space="preserve">Multiply by</t>
  </si>
  <si>
    <t xml:space="preserve">in</t>
  </si>
  <si>
    <t xml:space="preserve">lb</t>
  </si>
  <si>
    <t xml:space="preserve">kgf</t>
  </si>
  <si>
    <t xml:space="preserve">psi</t>
  </si>
  <si>
    <t xml:space="preserve">lb·ft</t>
  </si>
  <si>
    <t xml:space="preserve">km/h</t>
  </si>
  <si>
    <t xml:space="preserve">rad</t>
  </si>
  <si>
    <t xml:space="preserve">hp</t>
  </si>
  <si>
    <t xml:space="preserve">LIVE CONVERTER</t>
  </si>
  <si>
    <t xml:space="preserve">× factor (copy from above)</t>
  </si>
  <si>
    <t xml:space="preserve">Result =</t>
  </si>
  <si>
    <t xml:space="preserve">CORNER SETUP SHEET  (copy per run)</t>
  </si>
  <si>
    <t xml:space="preserve">Baseline comes from the Tyre and Springs sheets; type the run values in the four corner columns. Record date, track, temps, fuel, driver, tyre heat-cycles and the ONE change vs last run.</t>
  </si>
  <si>
    <t xml:space="preserve">Front L</t>
  </si>
  <si>
    <t xml:space="preserve">Front R</t>
  </si>
  <si>
    <t xml:space="preserve">Rear L</t>
  </si>
  <si>
    <t xml:space="preserve">Rear R</t>
  </si>
  <si>
    <t xml:space="preserve">Cold pressure (kPa)</t>
  </si>
  <si>
    <t xml:space="preserve">Hot pressure (kPa)</t>
  </si>
  <si>
    <t xml:space="preserve">Camber (deg)</t>
  </si>
  <si>
    <t xml:space="preserve">Toe (deg)</t>
  </si>
  <si>
    <t xml:space="preserve">Caster (deg)</t>
  </si>
  <si>
    <t xml:space="preserve">Spring rate (N/mm)</t>
  </si>
  <si>
    <t xml:space="preserve">ARB setting</t>
  </si>
  <si>
    <t xml:space="preserve">Damper bump</t>
  </si>
  <si>
    <t xml:space="preserve">Damper rebound</t>
  </si>
  <si>
    <t xml:space="preserve">Corner weight (N)</t>
  </si>
  <si>
    <t xml:space="preserve">Date</t>
  </si>
  <si>
    <t xml:space="preserve">Ambient / track temp</t>
  </si>
  <si>
    <t xml:space="preserve">Fuel</t>
  </si>
  <si>
    <t xml:space="preserve">Driver</t>
  </si>
  <si>
    <t xml:space="preserve">Tyre set / heat cycles</t>
  </si>
  <si>
    <t xml:space="preserve">ONE change vs last run</t>
  </si>
  <si>
    <t xml:space="preserve">Result (measured + felt)</t>
  </si>
  <si>
    <t xml:space="preserve">TEST LOG</t>
  </si>
  <si>
    <t xml:space="preserve">One row per run. Change ONE thing at a time; record what you measured and what you felt, and the next action.</t>
  </si>
  <si>
    <t xml:space="preserve">Run #</t>
  </si>
  <si>
    <t xml:space="preserve">Test</t>
  </si>
  <si>
    <t xml:space="preserve">Setup change</t>
  </si>
  <si>
    <t xml:space="preserve">Measured result</t>
  </si>
  <si>
    <t xml:space="preserve">Next action</t>
  </si>
  <si>
    <t xml:space="preserve">2026-06-01</t>
  </si>
  <si>
    <t xml:space="preserve">Skidpad</t>
  </si>
  <si>
    <t xml:space="preserve">1.42 g; mild mid-understeer</t>
  </si>
  <si>
    <t xml:space="preserve">Soften front ARB one step</t>
  </si>
  <si>
    <t xml:space="preserve">PROCUREMENT TRACKER</t>
  </si>
  <si>
    <t xml:space="preserve">Order-by date is set by lead time; flag long-lead items (dampers, bearings, tyres) early. Add Bangladesh/FSCC import + customs margin.</t>
  </si>
  <si>
    <t xml:space="preserve">Spec</t>
  </si>
  <si>
    <t xml:space="preserve">Quote</t>
  </si>
  <si>
    <t xml:space="preserve">Lead time</t>
  </si>
  <si>
    <t xml:space="preserve">Order-by</t>
  </si>
  <si>
    <t xml:space="preserve">Dampers</t>
  </si>
  <si>
    <t xml:space="preserve">MTB/kart, adj.</t>
  </si>
  <si>
    <t xml:space="preserve">8–12 wk</t>
  </si>
  <si>
    <t xml:space="preserve">2026-02-01</t>
  </si>
  <si>
    <t xml:space="preserve">To order</t>
  </si>
  <si>
    <t xml:space="preserve">DECISION GATES  (G0–G9)</t>
  </si>
  <si>
    <t xml:space="preserve">Do not carry an open problem across a gate. Mark each Done when its exit criteria are met and signed.</t>
  </si>
  <si>
    <t xml:space="preserve">Gate</t>
  </si>
  <si>
    <t xml:space="preserve">You may not proceed until…</t>
  </si>
  <si>
    <t xml:space="preserve">Date / sign-off</t>
  </si>
  <si>
    <t xml:space="preserve">G0 Targets</t>
  </si>
  <si>
    <t xml:space="preserve">Rules extracted; targets set; lock-list filled &amp; signed</t>
  </si>
  <si>
    <t xml:space="preserve">G1 Tyre</t>
  </si>
  <si>
    <t xml:space="preserve">Tyre chosen with data; validated model; operating metrics in Master</t>
  </si>
  <si>
    <t xml:space="preserve">G2 Concept</t>
  </si>
  <si>
    <t xml:space="preserve">Vehicle targets frozen (WB, track, mass, CoG, freqs, architecture)</t>
  </si>
  <si>
    <t xml:space="preserve">G3 Hardpoints</t>
  </si>
  <si>
    <t xml:space="preserve">All kinematic targets met; travel/clearances OK; coords FROZEN</t>
  </si>
  <si>
    <t xml:space="preserve">G4 Design</t>
  </si>
  <si>
    <t xml:space="preserve">Parts pass FEA; DFM/FMEA done; drawings &amp; BOM released; long-lead ordered</t>
  </si>
  <si>
    <t xml:space="preserve">G5 Rates</t>
  </si>
  <si>
    <t xml:space="preserve">Springs/ARB/dampers sized &amp; ordered (with a spring range)</t>
  </si>
  <si>
    <t xml:space="preserve">G6 Rolling chassis</t>
  </si>
  <si>
    <t xml:space="preserve">Built to spec; QC passed (hardpoints verified); DAQ live</t>
  </si>
  <si>
    <t xml:space="preserve">G7 Runner</t>
  </si>
  <si>
    <t xml:space="preserve">Reliable runs; car measured; baseline setup documented</t>
  </si>
  <si>
    <t xml:space="preserve">G8 Performance</t>
  </si>
  <si>
    <t xml:space="preserve">Targets met; model correlated; endurance-distance run clean</t>
  </si>
  <si>
    <t xml:space="preserve">G9 Competition</t>
  </si>
  <si>
    <t xml:space="preserve">Scrutineering self-check passed; setups/spares/drivers ready</t>
  </si>
  <si>
    <t xml:space="preserve">CHANGE LOG</t>
  </si>
  <si>
    <t xml:space="preserve">Every change to a frozen number after its gate is logged here — who, what, old→new, and why.</t>
  </si>
  <si>
    <t xml:space="preserve">Sheet</t>
  </si>
  <si>
    <t xml:space="preserve">Old</t>
  </si>
  <si>
    <t xml:space="preserve">New</t>
  </si>
  <si>
    <t xml:space="preserve">Who</t>
  </si>
  <si>
    <t xml:space="preserve">Why</t>
  </si>
  <si>
    <t xml:space="preserve">295</t>
  </si>
  <si>
    <t xml:space="preserve">290</t>
  </si>
  <si>
    <t xml:space="preserve">Tilt-test result</t>
  </si>
  <si>
    <t xml:space="preserve">t_deg</t>
  </si>
  <si>
    <t xml:space="preserve">Lateral g</t>
  </si>
  <si>
    <t xml:space="preserve">Longitudinal g</t>
  </si>
  <si>
    <t xml:space="preserve">Slip(deg)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</si>
</sst>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"/>
    <numFmt numFmtId="166" formatCode="0.0%"/>
    <numFmt numFmtId="167" formatCode="0"/>
    <numFmt numFmtId="168" formatCode="0.00"/>
    <numFmt numFmtId="169" formatCode="@"/>
    <numFmt numFmtId="170" formatCode="0.000"/>
    <numFmt numFmtId="171" formatCode="0.000000"/>
  </numFmts>
  <fonts count="2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sz val="9"/>
      <color rgb="FF333333"/>
      <name val="Consolas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20"/>
      <color rgb="FFC1121F"/>
      <name val="Arial"/>
      <family val="0"/>
      <charset val="1"/>
    </font>
    <font>
      <b val="true"/>
      <sz val="20"/>
      <color rgb="FF23232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8"/>
      <name val="Arial"/>
      <family val="0"/>
      <charset val="1"/>
    </font>
    <font>
      <b val="true"/>
      <sz val="8"/>
      <color rgb="FF008000"/>
      <name val="Arial"/>
      <family val="0"/>
      <charset val="1"/>
    </font>
    <font>
      <i val="true"/>
      <sz val="8"/>
      <color rgb="FF555555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8000"/>
      <name val="Arial"/>
      <family val="0"/>
      <charset val="1"/>
    </font>
    <font>
      <sz val="11"/>
      <color rgb="FF000000"/>
      <name val="Arial"/>
      <family val="0"/>
      <charset val="1"/>
    </font>
    <font>
      <sz val="10"/>
      <name val="Arial"/>
      <family val="2"/>
    </font>
    <font>
      <b val="true"/>
      <sz val="11"/>
      <name val="Arial"/>
      <family val="0"/>
      <charset val="1"/>
    </font>
    <font>
      <b val="true"/>
      <sz val="11"/>
      <color rgb="FF000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C1121F"/>
        <bgColor rgb="FFFF0000"/>
      </patternFill>
    </fill>
    <fill>
      <patternFill patternType="solid">
        <fgColor rgb="FF232326"/>
        <bgColor rgb="FF333333"/>
      </patternFill>
    </fill>
    <fill>
      <patternFill patternType="solid">
        <fgColor rgb="FFF2F4F7"/>
        <bgColor rgb="FFEDEDEF"/>
      </patternFill>
    </fill>
    <fill>
      <patternFill patternType="solid">
        <fgColor rgb="FFFBEDEE"/>
        <bgColor rgb="FFEDEDEF"/>
      </patternFill>
    </fill>
    <fill>
      <patternFill patternType="solid">
        <fgColor rgb="FFEDEDEF"/>
        <bgColor rgb="FFF2F4F7"/>
      </patternFill>
    </fill>
    <fill>
      <patternFill patternType="solid">
        <fgColor rgb="FFFFF6CC"/>
        <bgColor rgb="FFFBEDEE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2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1" fillId="3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5" fontId="1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6" fontId="1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2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1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7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23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23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23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2" fillId="7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22" fillId="7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23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22" fillId="7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22" fillId="7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24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4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24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22" fillId="7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23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22" fillId="7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6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27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24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22" fillId="7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27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78787"/>
      <rgbColor rgb="FF9999FF"/>
      <rgbColor rgb="FFBE4B48"/>
      <rgbColor rgb="FFFFF6CC"/>
      <rgbColor rgb="FFF2F4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F"/>
      <rgbColor rgb="FFFBEDEE"/>
      <rgbColor rgb="FFFFFF99"/>
      <rgbColor rgb="FF99CCFF"/>
      <rgbColor rgb="FFFF99CC"/>
      <rgbColor rgb="FFCC99FF"/>
      <rgbColor rgb="FFFFCC99"/>
      <rgbColor rgb="FF4A7EBB"/>
      <rgbColor rgb="FF46AAC4"/>
      <rgbColor rgb="FF98B855"/>
      <rgbColor rgb="FFFFCC00"/>
      <rgbColor rgb="FFFF9900"/>
      <rgbColor rgb="FFFF6600"/>
      <rgbColor rgb="FF7D5FA0"/>
      <rgbColor rgb="FF969696"/>
      <rgbColor rgb="FF003366"/>
      <rgbColor rgb="FF4F81BD"/>
      <rgbColor rgb="FF003300"/>
      <rgbColor rgb="FF232326"/>
      <rgbColor rgb="FFC1121F"/>
      <rgbColor rgb="FF993366"/>
      <rgbColor rgb="FF555555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g–g envelope (friction circle)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"Grip limit"</c:f>
              <c:strCache>
                <c:ptCount val="1"/>
                <c:pt idx="0">
                  <c:v>Grip limit</c:v>
                </c:pt>
              </c:strCache>
            </c:strRef>
          </c:tx>
          <c:spPr>
            <a:solidFill>
              <a:srgbClr val="c1121f"/>
            </a:solidFill>
            <a:ln w="21960">
              <a:solidFill>
                <a:srgbClr val="c1121f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ChartData!$B$4:$B$40</c:f>
              <c:numCache>
                <c:formatCode>General</c:formatCode>
                <c:ptCount val="37"/>
                <c:pt idx="0">
                  <c:v>0</c:v>
                </c:pt>
                <c:pt idx="1">
                  <c:v>0.260472266500396</c:v>
                </c:pt>
                <c:pt idx="2">
                  <c:v>0.513030214988503</c:v>
                </c:pt>
                <c:pt idx="3">
                  <c:v>0.75</c:v>
                </c:pt>
                <c:pt idx="4">
                  <c:v>0.964181414529809</c:v>
                </c:pt>
                <c:pt idx="5">
                  <c:v>1.14906666467847</c:v>
                </c:pt>
                <c:pt idx="6">
                  <c:v>1.29903810567666</c:v>
                </c:pt>
                <c:pt idx="7">
                  <c:v>1.40953893117886</c:v>
                </c:pt>
                <c:pt idx="8">
                  <c:v>1.47721162951831</c:v>
                </c:pt>
                <c:pt idx="9">
                  <c:v>1.5</c:v>
                </c:pt>
                <c:pt idx="10">
                  <c:v>1.47721162951831</c:v>
                </c:pt>
                <c:pt idx="11">
                  <c:v>1.40953893117886</c:v>
                </c:pt>
                <c:pt idx="12">
                  <c:v>1.29903810567666</c:v>
                </c:pt>
                <c:pt idx="13">
                  <c:v>1.14906666467847</c:v>
                </c:pt>
                <c:pt idx="14">
                  <c:v>0.964181414529809</c:v>
                </c:pt>
                <c:pt idx="15">
                  <c:v>0.75</c:v>
                </c:pt>
                <c:pt idx="16">
                  <c:v>0.513030214988503</c:v>
                </c:pt>
                <c:pt idx="17">
                  <c:v>0.260472266500396</c:v>
                </c:pt>
                <c:pt idx="18">
                  <c:v>1.83697019872103E-016</c:v>
                </c:pt>
                <c:pt idx="19">
                  <c:v>-0.260472266500396</c:v>
                </c:pt>
                <c:pt idx="20">
                  <c:v>-0.513030214988503</c:v>
                </c:pt>
                <c:pt idx="21">
                  <c:v>-0.75</c:v>
                </c:pt>
                <c:pt idx="22">
                  <c:v>-0.964181414529809</c:v>
                </c:pt>
                <c:pt idx="23">
                  <c:v>-1.14906666467847</c:v>
                </c:pt>
                <c:pt idx="24">
                  <c:v>-1.29903810567666</c:v>
                </c:pt>
                <c:pt idx="25">
                  <c:v>-1.40953893117886</c:v>
                </c:pt>
                <c:pt idx="26">
                  <c:v>-1.47721162951831</c:v>
                </c:pt>
                <c:pt idx="27">
                  <c:v>-1.5</c:v>
                </c:pt>
                <c:pt idx="28">
                  <c:v>-1.47721162951831</c:v>
                </c:pt>
                <c:pt idx="29">
                  <c:v>-1.40953893117886</c:v>
                </c:pt>
                <c:pt idx="30">
                  <c:v>-1.29903810567666</c:v>
                </c:pt>
                <c:pt idx="31">
                  <c:v>-1.14906666467847</c:v>
                </c:pt>
                <c:pt idx="32">
                  <c:v>-0.964181414529809</c:v>
                </c:pt>
                <c:pt idx="33">
                  <c:v>-0.750000000000001</c:v>
                </c:pt>
                <c:pt idx="34">
                  <c:v>-0.513030214988504</c:v>
                </c:pt>
                <c:pt idx="35">
                  <c:v>-0.260472266500396</c:v>
                </c:pt>
                <c:pt idx="36">
                  <c:v>-3.67394039744206E-016</c:v>
                </c:pt>
              </c:numCache>
            </c:numRef>
          </c:xVal>
          <c:yVal>
            <c:numRef>
              <c:f>ChartData!$C$4:$C$40</c:f>
              <c:numCache>
                <c:formatCode>General</c:formatCode>
                <c:ptCount val="37"/>
                <c:pt idx="0">
                  <c:v>1.5</c:v>
                </c:pt>
                <c:pt idx="1">
                  <c:v>1.47721162951831</c:v>
                </c:pt>
                <c:pt idx="2">
                  <c:v>1.40953893117886</c:v>
                </c:pt>
                <c:pt idx="3">
                  <c:v>1.29903810567666</c:v>
                </c:pt>
                <c:pt idx="4">
                  <c:v>1.14906666467847</c:v>
                </c:pt>
                <c:pt idx="5">
                  <c:v>0.964181414529809</c:v>
                </c:pt>
                <c:pt idx="6">
                  <c:v>0.75</c:v>
                </c:pt>
                <c:pt idx="7">
                  <c:v>0.513030214988503</c:v>
                </c:pt>
                <c:pt idx="8">
                  <c:v>0.260472266500396</c:v>
                </c:pt>
                <c:pt idx="9">
                  <c:v>9.18485099360515E-017</c:v>
                </c:pt>
                <c:pt idx="10">
                  <c:v>-0.260472266500395</c:v>
                </c:pt>
                <c:pt idx="11">
                  <c:v>-0.513030214988503</c:v>
                </c:pt>
                <c:pt idx="12">
                  <c:v>-0.75</c:v>
                </c:pt>
                <c:pt idx="13">
                  <c:v>-0.964181414529809</c:v>
                </c:pt>
                <c:pt idx="14">
                  <c:v>-1.14906666467847</c:v>
                </c:pt>
                <c:pt idx="15">
                  <c:v>-1.29903810567666</c:v>
                </c:pt>
                <c:pt idx="16">
                  <c:v>-1.40953893117886</c:v>
                </c:pt>
                <c:pt idx="17">
                  <c:v>-1.47721162951831</c:v>
                </c:pt>
                <c:pt idx="18">
                  <c:v>-1.5</c:v>
                </c:pt>
                <c:pt idx="19">
                  <c:v>-1.47721162951831</c:v>
                </c:pt>
                <c:pt idx="20">
                  <c:v>-1.40953893117886</c:v>
                </c:pt>
                <c:pt idx="21">
                  <c:v>-1.29903810567666</c:v>
                </c:pt>
                <c:pt idx="22">
                  <c:v>-1.14906666467847</c:v>
                </c:pt>
                <c:pt idx="23">
                  <c:v>-0.964181414529809</c:v>
                </c:pt>
                <c:pt idx="24">
                  <c:v>-0.750000000000001</c:v>
                </c:pt>
                <c:pt idx="25">
                  <c:v>-0.513030214988504</c:v>
                </c:pt>
                <c:pt idx="26">
                  <c:v>-0.260472266500396</c:v>
                </c:pt>
                <c:pt idx="27">
                  <c:v>-2.75545529808155E-016</c:v>
                </c:pt>
                <c:pt idx="28">
                  <c:v>0.260472266500395</c:v>
                </c:pt>
                <c:pt idx="29">
                  <c:v>0.513030214988504</c:v>
                </c:pt>
                <c:pt idx="30">
                  <c:v>0.75</c:v>
                </c:pt>
                <c:pt idx="31">
                  <c:v>0.964181414529809</c:v>
                </c:pt>
                <c:pt idx="32">
                  <c:v>1.14906666467847</c:v>
                </c:pt>
                <c:pt idx="33">
                  <c:v>1.29903810567666</c:v>
                </c:pt>
                <c:pt idx="34">
                  <c:v>1.40953893117886</c:v>
                </c:pt>
                <c:pt idx="35">
                  <c:v>1.47721162951831</c:v>
                </c:pt>
                <c:pt idx="36">
                  <c:v>1.5</c:v>
                </c:pt>
              </c:numCache>
            </c:numRef>
          </c:yVal>
          <c:smooth val="1"/>
        </c:ser>
        <c:axId val="92694789"/>
        <c:axId val="79241674"/>
      </c:scatterChart>
      <c:valAx>
        <c:axId val="9269478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Lateral (g)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241674"/>
        <c:crosses val="autoZero"/>
        <c:crossBetween val="midCat"/>
      </c:valAx>
      <c:valAx>
        <c:axId val="7924167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Longitudinal (g)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694789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Per-corner vertical load at the limit (N)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ChartData!$L$4:$L$7</c:f>
              <c:strCache>
                <c:ptCount val="4"/>
                <c:pt idx="0">
                  <c:v>Outer front</c:v>
                </c:pt>
                <c:pt idx="1">
                  <c:v>Inner front</c:v>
                </c:pt>
                <c:pt idx="2">
                  <c:v>Outer rear</c:v>
                </c:pt>
                <c:pt idx="3">
                  <c:v>Inner rear</c:v>
                </c:pt>
              </c:strCache>
            </c:strRef>
          </c:cat>
          <c:val>
            <c:numRef>
              <c:f>ChartData!$M$4:$M$7</c:f>
              <c:numCache>
                <c:formatCode>0</c:formatCode>
                <c:ptCount val="4"/>
                <c:pt idx="0">
                  <c:v>1038.75433402006</c:v>
                </c:pt>
                <c:pt idx="1">
                  <c:v>144.458246625102</c:v>
                </c:pt>
                <c:pt idx="2">
                  <c:v>1116.06575001355</c:v>
                </c:pt>
                <c:pt idx="3">
                  <c:v>290.561669341285</c:v>
                </c:pt>
              </c:numCache>
            </c:numRef>
          </c:val>
        </c:ser>
        <c:gapWidth val="150"/>
        <c:overlap val="0"/>
        <c:axId val="51633879"/>
        <c:axId val="63474421"/>
      </c:barChart>
      <c:catAx>
        <c:axId val="5163387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474421"/>
        <c:crosses val="autoZero"/>
        <c:auto val="1"/>
        <c:lblAlgn val="ctr"/>
        <c:lblOffset val="100"/>
        <c:noMultiLvlLbl val="0"/>
      </c:catAx>
      <c:valAx>
        <c:axId val="6347442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63387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Tyre lateral force vs slip angle (per vertical load, N)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ChartData!F3</c:f>
              <c:strCache>
                <c:ptCount val="1"/>
                <c:pt idx="0">
                  <c:v>250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ChartData!$E$4:$E$28</c:f>
              <c:strCache>
                <c:ptCount val="25"/>
                <c:pt idx="0">
                  <c:v>-12</c:v>
                </c:pt>
                <c:pt idx="1">
                  <c:v>-11</c:v>
                </c:pt>
                <c:pt idx="2">
                  <c:v>-10</c:v>
                </c:pt>
                <c:pt idx="3">
                  <c:v>-9</c:v>
                </c:pt>
                <c:pt idx="4">
                  <c:v>-8</c:v>
                </c:pt>
                <c:pt idx="5">
                  <c:v>-7</c:v>
                </c:pt>
                <c:pt idx="6">
                  <c:v>-6</c:v>
                </c:pt>
                <c:pt idx="7">
                  <c:v>-5</c:v>
                </c:pt>
                <c:pt idx="8">
                  <c:v>-4</c:v>
                </c:pt>
                <c:pt idx="9">
                  <c:v>-3</c:v>
                </c:pt>
                <c:pt idx="10">
                  <c:v>-2</c:v>
                </c:pt>
                <c:pt idx="11">
                  <c:v>-1</c:v>
                </c:pt>
                <c:pt idx="12">
                  <c:v>0</c:v>
                </c:pt>
                <c:pt idx="13">
                  <c:v>1</c:v>
                </c:pt>
                <c:pt idx="14">
                  <c:v>2</c:v>
                </c:pt>
                <c:pt idx="15">
                  <c:v>3</c:v>
                </c:pt>
                <c:pt idx="16">
                  <c:v>4</c:v>
                </c:pt>
                <c:pt idx="17">
                  <c:v>5</c:v>
                </c:pt>
                <c:pt idx="18">
                  <c:v>6</c:v>
                </c:pt>
                <c:pt idx="19">
                  <c:v>7</c:v>
                </c:pt>
                <c:pt idx="20">
                  <c:v>8</c:v>
                </c:pt>
                <c:pt idx="21">
                  <c:v>9</c:v>
                </c:pt>
                <c:pt idx="22">
                  <c:v>10</c:v>
                </c:pt>
                <c:pt idx="23">
                  <c:v>11</c:v>
                </c:pt>
                <c:pt idx="24">
                  <c:v>12</c:v>
                </c:pt>
              </c:strCache>
            </c:strRef>
          </c:cat>
          <c:val>
            <c:numRef>
              <c:f>ChartData!$F$4:$F$28</c:f>
              <c:numCache>
                <c:formatCode>General</c:formatCode>
                <c:ptCount val="25"/>
                <c:pt idx="0">
                  <c:v>-341.909687971084</c:v>
                </c:pt>
                <c:pt idx="1">
                  <c:v>-342.577692438849</c:v>
                </c:pt>
                <c:pt idx="2">
                  <c:v>-343.370472260717</c:v>
                </c:pt>
                <c:pt idx="3">
                  <c:v>-344.326298695466</c:v>
                </c:pt>
                <c:pt idx="4">
                  <c:v>-345.500682748168</c:v>
                </c:pt>
                <c:pt idx="5">
                  <c:v>-346.977120484238</c:v>
                </c:pt>
                <c:pt idx="6">
                  <c:v>-348.886732777829</c:v>
                </c:pt>
                <c:pt idx="7">
                  <c:v>-351.446120431625</c:v>
                </c:pt>
                <c:pt idx="8">
                  <c:v>-355.033578148982</c:v>
                </c:pt>
                <c:pt idx="9">
                  <c:v>-360.336404763836</c:v>
                </c:pt>
                <c:pt idx="10">
                  <c:v>-368.40990350922</c:v>
                </c:pt>
                <c:pt idx="11">
                  <c:v>-374.053042186916</c:v>
                </c:pt>
                <c:pt idx="12">
                  <c:v>0</c:v>
                </c:pt>
                <c:pt idx="13">
                  <c:v>374.053042186916</c:v>
                </c:pt>
                <c:pt idx="14">
                  <c:v>368.40990350922</c:v>
                </c:pt>
                <c:pt idx="15">
                  <c:v>360.336404763836</c:v>
                </c:pt>
                <c:pt idx="16">
                  <c:v>355.033578148982</c:v>
                </c:pt>
                <c:pt idx="17">
                  <c:v>351.446120431625</c:v>
                </c:pt>
                <c:pt idx="18">
                  <c:v>348.886732777829</c:v>
                </c:pt>
                <c:pt idx="19">
                  <c:v>346.977120484238</c:v>
                </c:pt>
                <c:pt idx="20">
                  <c:v>345.500682748168</c:v>
                </c:pt>
                <c:pt idx="21">
                  <c:v>344.326298695466</c:v>
                </c:pt>
                <c:pt idx="22">
                  <c:v>343.370472260717</c:v>
                </c:pt>
                <c:pt idx="23">
                  <c:v>342.577692438849</c:v>
                </c:pt>
                <c:pt idx="24">
                  <c:v>341.909687971084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ChartData!G3</c:f>
              <c:strCache>
                <c:ptCount val="1"/>
                <c:pt idx="0">
                  <c:v>500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ChartData!$E$4:$E$28</c:f>
              <c:strCache>
                <c:ptCount val="25"/>
                <c:pt idx="0">
                  <c:v>-12</c:v>
                </c:pt>
                <c:pt idx="1">
                  <c:v>-11</c:v>
                </c:pt>
                <c:pt idx="2">
                  <c:v>-10</c:v>
                </c:pt>
                <c:pt idx="3">
                  <c:v>-9</c:v>
                </c:pt>
                <c:pt idx="4">
                  <c:v>-8</c:v>
                </c:pt>
                <c:pt idx="5">
                  <c:v>-7</c:v>
                </c:pt>
                <c:pt idx="6">
                  <c:v>-6</c:v>
                </c:pt>
                <c:pt idx="7">
                  <c:v>-5</c:v>
                </c:pt>
                <c:pt idx="8">
                  <c:v>-4</c:v>
                </c:pt>
                <c:pt idx="9">
                  <c:v>-3</c:v>
                </c:pt>
                <c:pt idx="10">
                  <c:v>-2</c:v>
                </c:pt>
                <c:pt idx="11">
                  <c:v>-1</c:v>
                </c:pt>
                <c:pt idx="12">
                  <c:v>0</c:v>
                </c:pt>
                <c:pt idx="13">
                  <c:v>1</c:v>
                </c:pt>
                <c:pt idx="14">
                  <c:v>2</c:v>
                </c:pt>
                <c:pt idx="15">
                  <c:v>3</c:v>
                </c:pt>
                <c:pt idx="16">
                  <c:v>4</c:v>
                </c:pt>
                <c:pt idx="17">
                  <c:v>5</c:v>
                </c:pt>
                <c:pt idx="18">
                  <c:v>6</c:v>
                </c:pt>
                <c:pt idx="19">
                  <c:v>7</c:v>
                </c:pt>
                <c:pt idx="20">
                  <c:v>8</c:v>
                </c:pt>
                <c:pt idx="21">
                  <c:v>9</c:v>
                </c:pt>
                <c:pt idx="22">
                  <c:v>10</c:v>
                </c:pt>
                <c:pt idx="23">
                  <c:v>11</c:v>
                </c:pt>
                <c:pt idx="24">
                  <c:v>12</c:v>
                </c:pt>
              </c:strCache>
            </c:strRef>
          </c:cat>
          <c:val>
            <c:numRef>
              <c:f>ChartData!$G$4:$G$28</c:f>
              <c:numCache>
                <c:formatCode>General</c:formatCode>
                <c:ptCount val="25"/>
                <c:pt idx="0">
                  <c:v>-697.773465555658</c:v>
                </c:pt>
                <c:pt idx="1">
                  <c:v>-700.133291990781</c:v>
                </c:pt>
                <c:pt idx="2">
                  <c:v>-702.892240863249</c:v>
                </c:pt>
                <c:pt idx="3">
                  <c:v>-706.155916482783</c:v>
                </c:pt>
                <c:pt idx="4">
                  <c:v>-710.067156297964</c:v>
                </c:pt>
                <c:pt idx="5">
                  <c:v>-714.819952453568</c:v>
                </c:pt>
                <c:pt idx="6">
                  <c:v>-720.672809527672</c:v>
                </c:pt>
                <c:pt idx="7">
                  <c:v>-727.937592726432</c:v>
                </c:pt>
                <c:pt idx="8">
                  <c:v>-736.819807018439</c:v>
                </c:pt>
                <c:pt idx="9">
                  <c:v>-746.418019422346</c:v>
                </c:pt>
                <c:pt idx="10">
                  <c:v>-748.106084373832</c:v>
                </c:pt>
                <c:pt idx="11">
                  <c:v>-668.145529892964</c:v>
                </c:pt>
                <c:pt idx="12">
                  <c:v>0</c:v>
                </c:pt>
                <c:pt idx="13">
                  <c:v>668.145529892964</c:v>
                </c:pt>
                <c:pt idx="14">
                  <c:v>748.106084373832</c:v>
                </c:pt>
                <c:pt idx="15">
                  <c:v>746.418019422346</c:v>
                </c:pt>
                <c:pt idx="16">
                  <c:v>736.819807018439</c:v>
                </c:pt>
                <c:pt idx="17">
                  <c:v>727.937592726432</c:v>
                </c:pt>
                <c:pt idx="18">
                  <c:v>720.672809527672</c:v>
                </c:pt>
                <c:pt idx="19">
                  <c:v>714.819952453568</c:v>
                </c:pt>
                <c:pt idx="20">
                  <c:v>710.067156297964</c:v>
                </c:pt>
                <c:pt idx="21">
                  <c:v>706.155916482783</c:v>
                </c:pt>
                <c:pt idx="22">
                  <c:v>702.892240863249</c:v>
                </c:pt>
                <c:pt idx="23">
                  <c:v>700.133291990781</c:v>
                </c:pt>
                <c:pt idx="24">
                  <c:v>697.773465555658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ChartData!H3</c:f>
              <c:strCache>
                <c:ptCount val="1"/>
                <c:pt idx="0">
                  <c:v>750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ChartData!$E$4:$E$28</c:f>
              <c:strCache>
                <c:ptCount val="25"/>
                <c:pt idx="0">
                  <c:v>-12</c:v>
                </c:pt>
                <c:pt idx="1">
                  <c:v>-11</c:v>
                </c:pt>
                <c:pt idx="2">
                  <c:v>-10</c:v>
                </c:pt>
                <c:pt idx="3">
                  <c:v>-9</c:v>
                </c:pt>
                <c:pt idx="4">
                  <c:v>-8</c:v>
                </c:pt>
                <c:pt idx="5">
                  <c:v>-7</c:v>
                </c:pt>
                <c:pt idx="6">
                  <c:v>-6</c:v>
                </c:pt>
                <c:pt idx="7">
                  <c:v>-5</c:v>
                </c:pt>
                <c:pt idx="8">
                  <c:v>-4</c:v>
                </c:pt>
                <c:pt idx="9">
                  <c:v>-3</c:v>
                </c:pt>
                <c:pt idx="10">
                  <c:v>-2</c:v>
                </c:pt>
                <c:pt idx="11">
                  <c:v>-1</c:v>
                </c:pt>
                <c:pt idx="12">
                  <c:v>0</c:v>
                </c:pt>
                <c:pt idx="13">
                  <c:v>1</c:v>
                </c:pt>
                <c:pt idx="14">
                  <c:v>2</c:v>
                </c:pt>
                <c:pt idx="15">
                  <c:v>3</c:v>
                </c:pt>
                <c:pt idx="16">
                  <c:v>4</c:v>
                </c:pt>
                <c:pt idx="17">
                  <c:v>5</c:v>
                </c:pt>
                <c:pt idx="18">
                  <c:v>6</c:v>
                </c:pt>
                <c:pt idx="19">
                  <c:v>7</c:v>
                </c:pt>
                <c:pt idx="20">
                  <c:v>8</c:v>
                </c:pt>
                <c:pt idx="21">
                  <c:v>9</c:v>
                </c:pt>
                <c:pt idx="22">
                  <c:v>10</c:v>
                </c:pt>
                <c:pt idx="23">
                  <c:v>11</c:v>
                </c:pt>
                <c:pt idx="24">
                  <c:v>12</c:v>
                </c:pt>
              </c:strCache>
            </c:strRef>
          </c:cat>
          <c:val>
            <c:numRef>
              <c:f>ChartData!$H$4:$H$28</c:f>
              <c:numCache>
                <c:formatCode>General</c:formatCode>
                <c:ptCount val="25"/>
                <c:pt idx="0">
                  <c:v>-1065.10073444695</c:v>
                </c:pt>
                <c:pt idx="1">
                  <c:v>-1069.69146359862</c:v>
                </c:pt>
                <c:pt idx="2">
                  <c:v>-1074.95092399154</c:v>
                </c:pt>
                <c:pt idx="3">
                  <c:v>-1081.00921429151</c:v>
                </c:pt>
                <c:pt idx="4">
                  <c:v>-1088.01013057744</c:v>
                </c:pt>
                <c:pt idx="5">
                  <c:v>-1096.0809658978</c:v>
                </c:pt>
                <c:pt idx="6">
                  <c:v>-1105.22971052766</c:v>
                </c:pt>
                <c:pt idx="7">
                  <c:v>-1115.00850977941</c:v>
                </c:pt>
                <c:pt idx="8">
                  <c:v>-1123.3558074122</c:v>
                </c:pt>
                <c:pt idx="9">
                  <c:v>-1122.15912656075</c:v>
                </c:pt>
                <c:pt idx="10">
                  <c:v>-1077.55403543669</c:v>
                </c:pt>
                <c:pt idx="11">
                  <c:v>-836.466388086681</c:v>
                </c:pt>
                <c:pt idx="12">
                  <c:v>0</c:v>
                </c:pt>
                <c:pt idx="13">
                  <c:v>836.466388086681</c:v>
                </c:pt>
                <c:pt idx="14">
                  <c:v>1077.55403543669</c:v>
                </c:pt>
                <c:pt idx="15">
                  <c:v>1122.15912656075</c:v>
                </c:pt>
                <c:pt idx="16">
                  <c:v>1123.3558074122</c:v>
                </c:pt>
                <c:pt idx="17">
                  <c:v>1115.00850977941</c:v>
                </c:pt>
                <c:pt idx="18">
                  <c:v>1105.22971052766</c:v>
                </c:pt>
                <c:pt idx="19">
                  <c:v>1096.0809658978</c:v>
                </c:pt>
                <c:pt idx="20">
                  <c:v>1088.01013057744</c:v>
                </c:pt>
                <c:pt idx="21">
                  <c:v>1081.00921429151</c:v>
                </c:pt>
                <c:pt idx="22">
                  <c:v>1074.95092399154</c:v>
                </c:pt>
                <c:pt idx="23">
                  <c:v>1069.69146359862</c:v>
                </c:pt>
                <c:pt idx="24">
                  <c:v>1065.10073444695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ChartData!I3</c:f>
              <c:strCache>
                <c:ptCount val="1"/>
                <c:pt idx="0">
                  <c:v>1000</c:v>
                </c:pt>
              </c:strCache>
            </c:strRef>
          </c:tx>
          <c:spPr>
            <a:solidFill>
              <a:srgbClr val="7d5fa0"/>
            </a:solidFill>
            <a:ln w="2844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ChartData!$E$4:$E$28</c:f>
              <c:strCache>
                <c:ptCount val="25"/>
                <c:pt idx="0">
                  <c:v>-12</c:v>
                </c:pt>
                <c:pt idx="1">
                  <c:v>-11</c:v>
                </c:pt>
                <c:pt idx="2">
                  <c:v>-10</c:v>
                </c:pt>
                <c:pt idx="3">
                  <c:v>-9</c:v>
                </c:pt>
                <c:pt idx="4">
                  <c:v>-8</c:v>
                </c:pt>
                <c:pt idx="5">
                  <c:v>-7</c:v>
                </c:pt>
                <c:pt idx="6">
                  <c:v>-6</c:v>
                </c:pt>
                <c:pt idx="7">
                  <c:v>-5</c:v>
                </c:pt>
                <c:pt idx="8">
                  <c:v>-4</c:v>
                </c:pt>
                <c:pt idx="9">
                  <c:v>-3</c:v>
                </c:pt>
                <c:pt idx="10">
                  <c:v>-2</c:v>
                </c:pt>
                <c:pt idx="11">
                  <c:v>-1</c:v>
                </c:pt>
                <c:pt idx="12">
                  <c:v>0</c:v>
                </c:pt>
                <c:pt idx="13">
                  <c:v>1</c:v>
                </c:pt>
                <c:pt idx="14">
                  <c:v>2</c:v>
                </c:pt>
                <c:pt idx="15">
                  <c:v>3</c:v>
                </c:pt>
                <c:pt idx="16">
                  <c:v>4</c:v>
                </c:pt>
                <c:pt idx="17">
                  <c:v>5</c:v>
                </c:pt>
                <c:pt idx="18">
                  <c:v>6</c:v>
                </c:pt>
                <c:pt idx="19">
                  <c:v>7</c:v>
                </c:pt>
                <c:pt idx="20">
                  <c:v>8</c:v>
                </c:pt>
                <c:pt idx="21">
                  <c:v>9</c:v>
                </c:pt>
                <c:pt idx="22">
                  <c:v>10</c:v>
                </c:pt>
                <c:pt idx="23">
                  <c:v>11</c:v>
                </c:pt>
                <c:pt idx="24">
                  <c:v>12</c:v>
                </c:pt>
              </c:strCache>
            </c:strRef>
          </c:cat>
          <c:val>
            <c:numRef>
              <c:f>ChartData!$I$4:$I$28</c:f>
              <c:numCache>
                <c:formatCode>General</c:formatCode>
                <c:ptCount val="25"/>
                <c:pt idx="0">
                  <c:v>-1441.34561905534</c:v>
                </c:pt>
                <c:pt idx="1">
                  <c:v>-1448.21831708829</c:v>
                </c:pt>
                <c:pt idx="2">
                  <c:v>-1455.87518545286</c:v>
                </c:pt>
                <c:pt idx="3">
                  <c:v>-1464.36325819681</c:v>
                </c:pt>
                <c:pt idx="4">
                  <c:v>-1473.63961403688</c:v>
                </c:pt>
                <c:pt idx="5">
                  <c:v>-1483.42516411153</c:v>
                </c:pt>
                <c:pt idx="6">
                  <c:v>-1492.83603884469</c:v>
                </c:pt>
                <c:pt idx="7">
                  <c:v>-1499.39916508785</c:v>
                </c:pt>
                <c:pt idx="8">
                  <c:v>-1496.21216874766</c:v>
                </c:pt>
                <c:pt idx="9">
                  <c:v>-1462.99617449727</c:v>
                </c:pt>
                <c:pt idx="10">
                  <c:v>-1336.29105978593</c:v>
                </c:pt>
                <c:pt idx="11">
                  <c:v>-928.75797155768</c:v>
                </c:pt>
                <c:pt idx="12">
                  <c:v>0</c:v>
                </c:pt>
                <c:pt idx="13">
                  <c:v>928.75797155768</c:v>
                </c:pt>
                <c:pt idx="14">
                  <c:v>1336.29105978593</c:v>
                </c:pt>
                <c:pt idx="15">
                  <c:v>1462.99617449727</c:v>
                </c:pt>
                <c:pt idx="16">
                  <c:v>1496.21216874766</c:v>
                </c:pt>
                <c:pt idx="17">
                  <c:v>1499.39916508785</c:v>
                </c:pt>
                <c:pt idx="18">
                  <c:v>1492.83603884469</c:v>
                </c:pt>
                <c:pt idx="19">
                  <c:v>1483.42516411153</c:v>
                </c:pt>
                <c:pt idx="20">
                  <c:v>1473.63961403688</c:v>
                </c:pt>
                <c:pt idx="21">
                  <c:v>1464.36325819681</c:v>
                </c:pt>
                <c:pt idx="22">
                  <c:v>1455.87518545286</c:v>
                </c:pt>
                <c:pt idx="23">
                  <c:v>1448.21831708829</c:v>
                </c:pt>
                <c:pt idx="24">
                  <c:v>1441.34561905534</c:v>
                </c:pt>
              </c:numCache>
            </c:numRef>
          </c:val>
          <c:smooth val="1"/>
        </c:ser>
        <c:ser>
          <c:idx val="4"/>
          <c:order val="4"/>
          <c:tx>
            <c:strRef>
              <c:f>ChartData!J3</c:f>
              <c:strCache>
                <c:ptCount val="1"/>
                <c:pt idx="0">
                  <c:v>1250</c:v>
                </c:pt>
              </c:strCache>
            </c:strRef>
          </c:tx>
          <c:spPr>
            <a:solidFill>
              <a:srgbClr val="46aac4"/>
            </a:solidFill>
            <a:ln w="28440">
              <a:solidFill>
                <a:srgbClr val="46aac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ChartData!$E$4:$E$28</c:f>
              <c:strCache>
                <c:ptCount val="25"/>
                <c:pt idx="0">
                  <c:v>-12</c:v>
                </c:pt>
                <c:pt idx="1">
                  <c:v>-11</c:v>
                </c:pt>
                <c:pt idx="2">
                  <c:v>-10</c:v>
                </c:pt>
                <c:pt idx="3">
                  <c:v>-9</c:v>
                </c:pt>
                <c:pt idx="4">
                  <c:v>-8</c:v>
                </c:pt>
                <c:pt idx="5">
                  <c:v>-7</c:v>
                </c:pt>
                <c:pt idx="6">
                  <c:v>-6</c:v>
                </c:pt>
                <c:pt idx="7">
                  <c:v>-5</c:v>
                </c:pt>
                <c:pt idx="8">
                  <c:v>-4</c:v>
                </c:pt>
                <c:pt idx="9">
                  <c:v>-3</c:v>
                </c:pt>
                <c:pt idx="10">
                  <c:v>-2</c:v>
                </c:pt>
                <c:pt idx="11">
                  <c:v>-1</c:v>
                </c:pt>
                <c:pt idx="12">
                  <c:v>0</c:v>
                </c:pt>
                <c:pt idx="13">
                  <c:v>1</c:v>
                </c:pt>
                <c:pt idx="14">
                  <c:v>2</c:v>
                </c:pt>
                <c:pt idx="15">
                  <c:v>3</c:v>
                </c:pt>
                <c:pt idx="16">
                  <c:v>4</c:v>
                </c:pt>
                <c:pt idx="17">
                  <c:v>5</c:v>
                </c:pt>
                <c:pt idx="18">
                  <c:v>6</c:v>
                </c:pt>
                <c:pt idx="19">
                  <c:v>7</c:v>
                </c:pt>
                <c:pt idx="20">
                  <c:v>8</c:v>
                </c:pt>
                <c:pt idx="21">
                  <c:v>9</c:v>
                </c:pt>
                <c:pt idx="22">
                  <c:v>10</c:v>
                </c:pt>
                <c:pt idx="23">
                  <c:v>11</c:v>
                </c:pt>
                <c:pt idx="24">
                  <c:v>12</c:v>
                </c:pt>
              </c:strCache>
            </c:strRef>
          </c:cat>
          <c:val>
            <c:numRef>
              <c:f>ChartData!$J$4:$J$28</c:f>
              <c:numCache>
                <c:formatCode>General</c:formatCode>
                <c:ptCount val="25"/>
                <c:pt idx="0">
                  <c:v>-1823.96258234752</c:v>
                </c:pt>
                <c:pt idx="1">
                  <c:v>-1832.69950350134</c:v>
                </c:pt>
                <c:pt idx="2">
                  <c:v>-1842.0495175461</c:v>
                </c:pt>
                <c:pt idx="3">
                  <c:v>-1851.82000810142</c:v>
                </c:pt>
                <c:pt idx="4">
                  <c:v>-1861.52503839315</c:v>
                </c:pt>
                <c:pt idx="5">
                  <c:v>-1870.04891711734</c:v>
                </c:pt>
                <c:pt idx="6">
                  <c:v>-1874.87976571072</c:v>
                </c:pt>
                <c:pt idx="7">
                  <c:v>-1870.26521093458</c:v>
                </c:pt>
                <c:pt idx="8">
                  <c:v>-1842.51376849062</c:v>
                </c:pt>
                <c:pt idx="9">
                  <c:v>-1757.56109431108</c:v>
                </c:pt>
                <c:pt idx="10">
                  <c:v>-1530.04537892877</c:v>
                </c:pt>
                <c:pt idx="11">
                  <c:v>-981.7890089257</c:v>
                </c:pt>
                <c:pt idx="12">
                  <c:v>0</c:v>
                </c:pt>
                <c:pt idx="13">
                  <c:v>981.7890089257</c:v>
                </c:pt>
                <c:pt idx="14">
                  <c:v>1530.04537892877</c:v>
                </c:pt>
                <c:pt idx="15">
                  <c:v>1757.56109431108</c:v>
                </c:pt>
                <c:pt idx="16">
                  <c:v>1842.51376849062</c:v>
                </c:pt>
                <c:pt idx="17">
                  <c:v>1870.26521093458</c:v>
                </c:pt>
                <c:pt idx="18">
                  <c:v>1874.87976571072</c:v>
                </c:pt>
                <c:pt idx="19">
                  <c:v>1870.04891711734</c:v>
                </c:pt>
                <c:pt idx="20">
                  <c:v>1861.52503839315</c:v>
                </c:pt>
                <c:pt idx="21">
                  <c:v>1851.82000810142</c:v>
                </c:pt>
                <c:pt idx="22">
                  <c:v>1842.0495175461</c:v>
                </c:pt>
                <c:pt idx="23">
                  <c:v>1832.69950350134</c:v>
                </c:pt>
                <c:pt idx="24">
                  <c:v>1823.96258234752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7635923"/>
        <c:axId val="72261422"/>
      </c:lineChart>
      <c:catAx>
        <c:axId val="2763592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Slip angle (deg)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261422"/>
        <c:crosses val="autoZero"/>
        <c:auto val="1"/>
        <c:lblAlgn val="ctr"/>
        <c:lblOffset val="100"/>
        <c:noMultiLvlLbl val="0"/>
      </c:catAx>
      <c:valAx>
        <c:axId val="7226142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Lateral force Fy (N)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63592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Mass breakdown (kg)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MassBudget!$A$5:$A$22</c:f>
              <c:strCache>
                <c:ptCount val="18"/>
                <c:pt idx="0">
                  <c:v>Engine + fluids</c:v>
                </c:pt>
                <c:pt idx="1">
                  <c:v>Chassis + mounts</c:v>
                </c:pt>
                <c:pt idx="2">
                  <c:v>Driver (strapped)</c:v>
                </c:pt>
                <c:pt idx="3">
                  <c:v>Differential + chain</c:v>
                </c:pt>
                <c:pt idx="4">
                  <c:v>Axles + CV joints</c:v>
                </c:pt>
                <c:pt idx="5">
                  <c:v>Fuel (half tank)</c:v>
                </c:pt>
                <c:pt idx="6">
                  <c:v>Cooling (radiator+fluid)</c:v>
                </c:pt>
                <c:pt idx="7">
                  <c:v>Front suspension (x2)</c:v>
                </c:pt>
                <c:pt idx="8">
                  <c:v>Rear suspension (x2)</c:v>
                </c:pt>
                <c:pt idx="9">
                  <c:v>Wheels + tyres (front x2)</c:v>
                </c:pt>
                <c:pt idx="10">
                  <c:v>Wheels + tyres (rear x2)</c:v>
                </c:pt>
                <c:pt idx="11">
                  <c:v>Bodywork + undertray</c:v>
                </c:pt>
                <c:pt idx="12">
                  <c:v>Battery</c:v>
                </c:pt>
                <c:pt idx="13">
                  <c:v>Wiring harness + ECU</c:v>
                </c:pt>
                <c:pt idx="14">
                  <c:v>Brake system</c:v>
                </c:pt>
                <c:pt idx="15">
                  <c:v>Pedal box + steering</c:v>
                </c:pt>
                <c:pt idx="16">
                  <c:v>Seat + belts + padding</c:v>
                </c:pt>
                <c:pt idx="17">
                  <c:v>DAQ + sensors</c:v>
                </c:pt>
              </c:strCache>
            </c:strRef>
          </c:cat>
          <c:val>
            <c:numRef>
              <c:f>MassBudget!$B$5:$B$22</c:f>
              <c:numCache>
                <c:formatCode>0.0</c:formatCode>
                <c:ptCount val="18"/>
                <c:pt idx="0">
                  <c:v>38</c:v>
                </c:pt>
                <c:pt idx="1">
                  <c:v>34</c:v>
                </c:pt>
                <c:pt idx="2">
                  <c:v>75</c:v>
                </c:pt>
                <c:pt idx="3">
                  <c:v>9</c:v>
                </c:pt>
                <c:pt idx="4">
                  <c:v>6</c:v>
                </c:pt>
                <c:pt idx="5">
                  <c:v>4</c:v>
                </c:pt>
                <c:pt idx="6">
                  <c:v>6</c:v>
                </c:pt>
                <c:pt idx="7">
                  <c:v>14</c:v>
                </c:pt>
                <c:pt idx="8">
                  <c:v>15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4</c:v>
                </c:pt>
                <c:pt idx="13">
                  <c:v>5</c:v>
                </c:pt>
                <c:pt idx="14">
                  <c:v>7</c:v>
                </c:pt>
                <c:pt idx="15">
                  <c:v>6</c:v>
                </c:pt>
                <c:pt idx="16">
                  <c:v>5</c:v>
                </c:pt>
                <c:pt idx="17">
                  <c:v>3</c:v>
                </c:pt>
              </c:numCache>
            </c:numRef>
          </c:val>
        </c:ser>
        <c:gapWidth val="150"/>
        <c:overlap val="0"/>
        <c:axId val="36205829"/>
        <c:axId val="46212711"/>
      </c:barChart>
      <c:catAx>
        <c:axId val="3620582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212711"/>
        <c:crosses val="autoZero"/>
        <c:auto val="1"/>
        <c:lblAlgn val="ctr"/>
        <c:lblOffset val="100"/>
        <c:noMultiLvlLbl val="0"/>
      </c:catAx>
      <c:valAx>
        <c:axId val="4621271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20582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Per-corner vertical load at the limit (N)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ChartData!$L$4:$L$7</c:f>
              <c:strCache>
                <c:ptCount val="4"/>
                <c:pt idx="0">
                  <c:v>Outer front</c:v>
                </c:pt>
                <c:pt idx="1">
                  <c:v>Inner front</c:v>
                </c:pt>
                <c:pt idx="2">
                  <c:v>Outer rear</c:v>
                </c:pt>
                <c:pt idx="3">
                  <c:v>Inner rear</c:v>
                </c:pt>
              </c:strCache>
            </c:strRef>
          </c:cat>
          <c:val>
            <c:numRef>
              <c:f>ChartData!$M$4:$M$7</c:f>
              <c:numCache>
                <c:formatCode>0</c:formatCode>
                <c:ptCount val="4"/>
                <c:pt idx="0">
                  <c:v>1038.75433402006</c:v>
                </c:pt>
                <c:pt idx="1">
                  <c:v>144.458246625102</c:v>
                </c:pt>
                <c:pt idx="2">
                  <c:v>1116.06575001355</c:v>
                </c:pt>
                <c:pt idx="3">
                  <c:v>290.561669341285</c:v>
                </c:pt>
              </c:numCache>
            </c:numRef>
          </c:val>
        </c:ser>
        <c:gapWidth val="150"/>
        <c:overlap val="0"/>
        <c:axId val="50085652"/>
        <c:axId val="52348242"/>
      </c:barChart>
      <c:catAx>
        <c:axId val="500856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348242"/>
        <c:crosses val="autoZero"/>
        <c:auto val="1"/>
        <c:lblAlgn val="ctr"/>
        <c:lblOffset val="100"/>
        <c:noMultiLvlLbl val="0"/>
      </c:catAx>
      <c:valAx>
        <c:axId val="5234824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08565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g–g envelope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"Grip limit"</c:f>
              <c:strCache>
                <c:ptCount val="1"/>
                <c:pt idx="0">
                  <c:v>Grip limit</c:v>
                </c:pt>
              </c:strCache>
            </c:strRef>
          </c:tx>
          <c:spPr>
            <a:solidFill>
              <a:srgbClr val="c1121f"/>
            </a:solidFill>
            <a:ln w="21960">
              <a:solidFill>
                <a:srgbClr val="c1121f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ChartData!$B$4:$B$40</c:f>
              <c:numCache>
                <c:formatCode>General</c:formatCode>
                <c:ptCount val="37"/>
                <c:pt idx="0">
                  <c:v>0</c:v>
                </c:pt>
                <c:pt idx="1">
                  <c:v>0.260472266500396</c:v>
                </c:pt>
                <c:pt idx="2">
                  <c:v>0.513030214988503</c:v>
                </c:pt>
                <c:pt idx="3">
                  <c:v>0.75</c:v>
                </c:pt>
                <c:pt idx="4">
                  <c:v>0.964181414529809</c:v>
                </c:pt>
                <c:pt idx="5">
                  <c:v>1.14906666467847</c:v>
                </c:pt>
                <c:pt idx="6">
                  <c:v>1.29903810567666</c:v>
                </c:pt>
                <c:pt idx="7">
                  <c:v>1.40953893117886</c:v>
                </c:pt>
                <c:pt idx="8">
                  <c:v>1.47721162951831</c:v>
                </c:pt>
                <c:pt idx="9">
                  <c:v>1.5</c:v>
                </c:pt>
                <c:pt idx="10">
                  <c:v>1.47721162951831</c:v>
                </c:pt>
                <c:pt idx="11">
                  <c:v>1.40953893117886</c:v>
                </c:pt>
                <c:pt idx="12">
                  <c:v>1.29903810567666</c:v>
                </c:pt>
                <c:pt idx="13">
                  <c:v>1.14906666467847</c:v>
                </c:pt>
                <c:pt idx="14">
                  <c:v>0.964181414529809</c:v>
                </c:pt>
                <c:pt idx="15">
                  <c:v>0.75</c:v>
                </c:pt>
                <c:pt idx="16">
                  <c:v>0.513030214988503</c:v>
                </c:pt>
                <c:pt idx="17">
                  <c:v>0.260472266500396</c:v>
                </c:pt>
                <c:pt idx="18">
                  <c:v>1.83697019872103E-016</c:v>
                </c:pt>
                <c:pt idx="19">
                  <c:v>-0.260472266500396</c:v>
                </c:pt>
                <c:pt idx="20">
                  <c:v>-0.513030214988503</c:v>
                </c:pt>
                <c:pt idx="21">
                  <c:v>-0.75</c:v>
                </c:pt>
                <c:pt idx="22">
                  <c:v>-0.964181414529809</c:v>
                </c:pt>
                <c:pt idx="23">
                  <c:v>-1.14906666467847</c:v>
                </c:pt>
                <c:pt idx="24">
                  <c:v>-1.29903810567666</c:v>
                </c:pt>
                <c:pt idx="25">
                  <c:v>-1.40953893117886</c:v>
                </c:pt>
                <c:pt idx="26">
                  <c:v>-1.47721162951831</c:v>
                </c:pt>
                <c:pt idx="27">
                  <c:v>-1.5</c:v>
                </c:pt>
                <c:pt idx="28">
                  <c:v>-1.47721162951831</c:v>
                </c:pt>
                <c:pt idx="29">
                  <c:v>-1.40953893117886</c:v>
                </c:pt>
                <c:pt idx="30">
                  <c:v>-1.29903810567666</c:v>
                </c:pt>
                <c:pt idx="31">
                  <c:v>-1.14906666467847</c:v>
                </c:pt>
                <c:pt idx="32">
                  <c:v>-0.964181414529809</c:v>
                </c:pt>
                <c:pt idx="33">
                  <c:v>-0.750000000000001</c:v>
                </c:pt>
                <c:pt idx="34">
                  <c:v>-0.513030214988504</c:v>
                </c:pt>
                <c:pt idx="35">
                  <c:v>-0.260472266500396</c:v>
                </c:pt>
                <c:pt idx="36">
                  <c:v>-3.67394039744206E-016</c:v>
                </c:pt>
              </c:numCache>
            </c:numRef>
          </c:xVal>
          <c:yVal>
            <c:numRef>
              <c:f>ChartData!$C$4:$C$40</c:f>
              <c:numCache>
                <c:formatCode>General</c:formatCode>
                <c:ptCount val="37"/>
                <c:pt idx="0">
                  <c:v>1.5</c:v>
                </c:pt>
                <c:pt idx="1">
                  <c:v>1.47721162951831</c:v>
                </c:pt>
                <c:pt idx="2">
                  <c:v>1.40953893117886</c:v>
                </c:pt>
                <c:pt idx="3">
                  <c:v>1.29903810567666</c:v>
                </c:pt>
                <c:pt idx="4">
                  <c:v>1.14906666467847</c:v>
                </c:pt>
                <c:pt idx="5">
                  <c:v>0.964181414529809</c:v>
                </c:pt>
                <c:pt idx="6">
                  <c:v>0.75</c:v>
                </c:pt>
                <c:pt idx="7">
                  <c:v>0.513030214988503</c:v>
                </c:pt>
                <c:pt idx="8">
                  <c:v>0.260472266500396</c:v>
                </c:pt>
                <c:pt idx="9">
                  <c:v>9.18485099360515E-017</c:v>
                </c:pt>
                <c:pt idx="10">
                  <c:v>-0.260472266500395</c:v>
                </c:pt>
                <c:pt idx="11">
                  <c:v>-0.513030214988503</c:v>
                </c:pt>
                <c:pt idx="12">
                  <c:v>-0.75</c:v>
                </c:pt>
                <c:pt idx="13">
                  <c:v>-0.964181414529809</c:v>
                </c:pt>
                <c:pt idx="14">
                  <c:v>-1.14906666467847</c:v>
                </c:pt>
                <c:pt idx="15">
                  <c:v>-1.29903810567666</c:v>
                </c:pt>
                <c:pt idx="16">
                  <c:v>-1.40953893117886</c:v>
                </c:pt>
                <c:pt idx="17">
                  <c:v>-1.47721162951831</c:v>
                </c:pt>
                <c:pt idx="18">
                  <c:v>-1.5</c:v>
                </c:pt>
                <c:pt idx="19">
                  <c:v>-1.47721162951831</c:v>
                </c:pt>
                <c:pt idx="20">
                  <c:v>-1.40953893117886</c:v>
                </c:pt>
                <c:pt idx="21">
                  <c:v>-1.29903810567666</c:v>
                </c:pt>
                <c:pt idx="22">
                  <c:v>-1.14906666467847</c:v>
                </c:pt>
                <c:pt idx="23">
                  <c:v>-0.964181414529809</c:v>
                </c:pt>
                <c:pt idx="24">
                  <c:v>-0.750000000000001</c:v>
                </c:pt>
                <c:pt idx="25">
                  <c:v>-0.513030214988504</c:v>
                </c:pt>
                <c:pt idx="26">
                  <c:v>-0.260472266500396</c:v>
                </c:pt>
                <c:pt idx="27">
                  <c:v>-2.75545529808155E-016</c:v>
                </c:pt>
                <c:pt idx="28">
                  <c:v>0.260472266500395</c:v>
                </c:pt>
                <c:pt idx="29">
                  <c:v>0.513030214988504</c:v>
                </c:pt>
                <c:pt idx="30">
                  <c:v>0.75</c:v>
                </c:pt>
                <c:pt idx="31">
                  <c:v>0.964181414529809</c:v>
                </c:pt>
                <c:pt idx="32">
                  <c:v>1.14906666467847</c:v>
                </c:pt>
                <c:pt idx="33">
                  <c:v>1.29903810567666</c:v>
                </c:pt>
                <c:pt idx="34">
                  <c:v>1.40953893117886</c:v>
                </c:pt>
                <c:pt idx="35">
                  <c:v>1.47721162951831</c:v>
                </c:pt>
                <c:pt idx="36">
                  <c:v>1.5</c:v>
                </c:pt>
              </c:numCache>
            </c:numRef>
          </c:yVal>
          <c:smooth val="1"/>
        </c:ser>
        <c:axId val="46054912"/>
        <c:axId val="92090904"/>
      </c:scatterChart>
      <c:valAx>
        <c:axId val="4605491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Lateral (g)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090904"/>
        <c:crosses val="autoZero"/>
        <c:crossBetween val="midCat"/>
      </c:valAx>
      <c:valAx>
        <c:axId val="9209090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Longitudinal (g)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054912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Relationship Id="rId3" Type="http://schemas.openxmlformats.org/officeDocument/2006/relationships/chart" Target="../charts/chart5.xml"/><Relationship Id="rId4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15</xdr:row>
      <xdr:rowOff>0</xdr:rowOff>
    </xdr:from>
    <xdr:to>
      <xdr:col>7</xdr:col>
      <xdr:colOff>27000</xdr:colOff>
      <xdr:row>31</xdr:row>
      <xdr:rowOff>11160</xdr:rowOff>
    </xdr:to>
    <xdr:graphicFrame>
      <xdr:nvGraphicFramePr>
        <xdr:cNvPr id="0" name="Chart 1"/>
        <xdr:cNvGraphicFramePr/>
      </xdr:nvGraphicFramePr>
      <xdr:xfrm>
        <a:off x="211320" y="3105000"/>
        <a:ext cx="4679280" cy="305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15</xdr:row>
      <xdr:rowOff>0</xdr:rowOff>
    </xdr:from>
    <xdr:to>
      <xdr:col>12</xdr:col>
      <xdr:colOff>442800</xdr:colOff>
      <xdr:row>30</xdr:row>
      <xdr:rowOff>21600</xdr:rowOff>
    </xdr:to>
    <xdr:graphicFrame>
      <xdr:nvGraphicFramePr>
        <xdr:cNvPr id="1" name="Chart 2"/>
        <xdr:cNvGraphicFramePr/>
      </xdr:nvGraphicFramePr>
      <xdr:xfrm>
        <a:off x="4863600" y="3105000"/>
        <a:ext cx="431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3</xdr:row>
      <xdr:rowOff>0</xdr:rowOff>
    </xdr:from>
    <xdr:to>
      <xdr:col>9</xdr:col>
      <xdr:colOff>507240</xdr:colOff>
      <xdr:row>20</xdr:row>
      <xdr:rowOff>180720</xdr:rowOff>
    </xdr:to>
    <xdr:graphicFrame>
      <xdr:nvGraphicFramePr>
        <xdr:cNvPr id="2" name="Chart 1"/>
        <xdr:cNvGraphicFramePr/>
      </xdr:nvGraphicFramePr>
      <xdr:xfrm>
        <a:off x="611640" y="704880"/>
        <a:ext cx="5399280" cy="341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3</xdr:row>
      <xdr:rowOff>0</xdr:rowOff>
    </xdr:from>
    <xdr:to>
      <xdr:col>18</xdr:col>
      <xdr:colOff>147240</xdr:colOff>
      <xdr:row>23</xdr:row>
      <xdr:rowOff>149400</xdr:rowOff>
    </xdr:to>
    <xdr:graphicFrame>
      <xdr:nvGraphicFramePr>
        <xdr:cNvPr id="3" name="Chart 2"/>
        <xdr:cNvGraphicFramePr/>
      </xdr:nvGraphicFramePr>
      <xdr:xfrm>
        <a:off x="6114960" y="704880"/>
        <a:ext cx="5039280" cy="395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23</xdr:row>
      <xdr:rowOff>0</xdr:rowOff>
    </xdr:from>
    <xdr:to>
      <xdr:col>8</xdr:col>
      <xdr:colOff>38880</xdr:colOff>
      <xdr:row>38</xdr:row>
      <xdr:rowOff>21600</xdr:rowOff>
    </xdr:to>
    <xdr:graphicFrame>
      <xdr:nvGraphicFramePr>
        <xdr:cNvPr id="4" name="Chart 3"/>
        <xdr:cNvGraphicFramePr/>
      </xdr:nvGraphicFramePr>
      <xdr:xfrm>
        <a:off x="611640" y="4514760"/>
        <a:ext cx="431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0</xdr:colOff>
      <xdr:row>23</xdr:row>
      <xdr:rowOff>0</xdr:rowOff>
    </xdr:from>
    <xdr:to>
      <xdr:col>17</xdr:col>
      <xdr:colOff>398520</xdr:colOff>
      <xdr:row>39</xdr:row>
      <xdr:rowOff>11160</xdr:rowOff>
    </xdr:to>
    <xdr:graphicFrame>
      <xdr:nvGraphicFramePr>
        <xdr:cNvPr id="5" name="Chart 4"/>
        <xdr:cNvGraphicFramePr/>
      </xdr:nvGraphicFramePr>
      <xdr:xfrm>
        <a:off x="6114960" y="4514760"/>
        <a:ext cx="4679280" cy="305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1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2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3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4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5.v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6.v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vmlDrawing" Target="../drawings/vmlDrawing7.v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vmlDrawing" Target="../drawings/vmlDrawing8.v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comments" Target="../comments15.xml"/><Relationship Id="rId2" Type="http://schemas.openxmlformats.org/officeDocument/2006/relationships/vmlDrawing" Target="../drawings/vmlDrawing9.v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comments" Target="../comments19.xml"/><Relationship Id="rId2" Type="http://schemas.openxmlformats.org/officeDocument/2006/relationships/vmlDrawing" Target="../drawings/vmlDrawing10.v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comments" Target="../comments20.xml"/><Relationship Id="rId2" Type="http://schemas.openxmlformats.org/officeDocument/2006/relationships/vmlDrawing" Target="../drawings/vmlDrawing1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5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3" min="2" style="1" width="16"/>
    <col collapsed="false" customWidth="true" hidden="false" outlineLevel="0" max="8" min="4" style="1" width="12"/>
  </cols>
  <sheetData>
    <row r="1" customFormat="false" ht="25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4" customFormat="false" ht="18" hidden="false" customHeight="true" outlineLevel="0" collapsed="false">
      <c r="A4" s="4" t="s">
        <v>2</v>
      </c>
      <c r="B4" s="4"/>
      <c r="C4" s="4"/>
      <c r="D4" s="4"/>
      <c r="E4" s="4"/>
      <c r="F4" s="4"/>
      <c r="G4" s="4"/>
      <c r="H4" s="4"/>
    </row>
    <row r="5" customFormat="false" ht="55.5" hidden="false" customHeight="true" outlineLevel="0" collapsed="false">
      <c r="A5" s="5" t="s">
        <v>3</v>
      </c>
      <c r="B5" s="5"/>
      <c r="C5" s="5"/>
      <c r="D5" s="5"/>
      <c r="E5" s="5"/>
      <c r="F5" s="5"/>
      <c r="G5" s="5"/>
      <c r="H5" s="5"/>
    </row>
    <row r="6" customFormat="false" ht="18" hidden="false" customHeight="true" outlineLevel="0" collapsed="false">
      <c r="A6" s="4" t="s">
        <v>4</v>
      </c>
      <c r="B6" s="4"/>
      <c r="C6" s="4"/>
      <c r="D6" s="4"/>
      <c r="E6" s="4"/>
      <c r="F6" s="4"/>
      <c r="G6" s="4"/>
      <c r="H6" s="4"/>
    </row>
    <row r="7" customFormat="false" ht="42" hidden="false" customHeight="true" outlineLevel="0" collapsed="false">
      <c r="A7" s="5" t="s">
        <v>5</v>
      </c>
      <c r="B7" s="5"/>
      <c r="C7" s="5"/>
      <c r="D7" s="5"/>
      <c r="E7" s="5"/>
      <c r="F7" s="5"/>
      <c r="G7" s="5"/>
      <c r="H7" s="5"/>
    </row>
    <row r="8" customFormat="false" ht="18" hidden="false" customHeight="true" outlineLevel="0" collapsed="false">
      <c r="A8" s="4" t="s">
        <v>6</v>
      </c>
      <c r="B8" s="4"/>
      <c r="C8" s="4"/>
      <c r="D8" s="4"/>
      <c r="E8" s="4"/>
      <c r="F8" s="4"/>
      <c r="G8" s="4"/>
      <c r="H8" s="4"/>
    </row>
    <row r="9" customFormat="false" ht="13.5" hidden="false" customHeight="true" outlineLevel="0" collapsed="false">
      <c r="A9" s="6" t="s">
        <v>7</v>
      </c>
      <c r="B9" s="7" t="s">
        <v>8</v>
      </c>
      <c r="C9" s="7"/>
      <c r="D9" s="7"/>
      <c r="E9" s="7"/>
      <c r="F9" s="7"/>
      <c r="G9" s="7"/>
      <c r="H9" s="7"/>
    </row>
    <row r="10" customFormat="false" ht="13.5" hidden="false" customHeight="true" outlineLevel="0" collapsed="false">
      <c r="A10" s="6" t="s">
        <v>9</v>
      </c>
      <c r="B10" s="7" t="s">
        <v>10</v>
      </c>
      <c r="C10" s="7"/>
      <c r="D10" s="7"/>
      <c r="E10" s="7"/>
      <c r="F10" s="7"/>
      <c r="G10" s="7"/>
      <c r="H10" s="7"/>
    </row>
    <row r="11" customFormat="false" ht="13.5" hidden="false" customHeight="true" outlineLevel="0" collapsed="false">
      <c r="A11" s="6" t="s">
        <v>11</v>
      </c>
      <c r="B11" s="7" t="s">
        <v>12</v>
      </c>
      <c r="C11" s="7"/>
      <c r="D11" s="7"/>
      <c r="E11" s="7"/>
      <c r="F11" s="7"/>
      <c r="G11" s="7"/>
      <c r="H11" s="7"/>
    </row>
    <row r="12" customFormat="false" ht="18" hidden="false" customHeight="true" outlineLevel="0" collapsed="false">
      <c r="A12" s="4" t="s">
        <v>13</v>
      </c>
      <c r="B12" s="4"/>
      <c r="C12" s="4"/>
      <c r="D12" s="4"/>
      <c r="E12" s="4"/>
      <c r="F12" s="4"/>
      <c r="G12" s="4"/>
      <c r="H12" s="4"/>
    </row>
    <row r="13" customFormat="false" ht="42" hidden="false" customHeight="true" outlineLevel="0" collapsed="false">
      <c r="A13" s="5" t="s">
        <v>14</v>
      </c>
      <c r="B13" s="5"/>
      <c r="C13" s="5"/>
      <c r="D13" s="5"/>
      <c r="E13" s="5"/>
      <c r="F13" s="5"/>
      <c r="G13" s="5"/>
      <c r="H13" s="5"/>
    </row>
    <row r="14" customFormat="false" ht="18" hidden="false" customHeight="true" outlineLevel="0" collapsed="false">
      <c r="A14" s="4" t="s">
        <v>15</v>
      </c>
      <c r="B14" s="4"/>
      <c r="C14" s="4"/>
      <c r="D14" s="4"/>
      <c r="E14" s="4"/>
      <c r="F14" s="4"/>
      <c r="G14" s="4"/>
      <c r="H14" s="4"/>
    </row>
    <row r="15" customFormat="false" ht="13.5" hidden="false" customHeight="true" outlineLevel="0" collapsed="false">
      <c r="A15" s="6" t="s">
        <v>16</v>
      </c>
      <c r="B15" s="7" t="s">
        <v>17</v>
      </c>
      <c r="C15" s="7"/>
      <c r="D15" s="7"/>
      <c r="E15" s="7"/>
      <c r="F15" s="7"/>
      <c r="G15" s="7"/>
      <c r="H15" s="7"/>
    </row>
    <row r="16" customFormat="false" ht="13.5" hidden="false" customHeight="true" outlineLevel="0" collapsed="false">
      <c r="A16" s="6" t="s">
        <v>18</v>
      </c>
      <c r="B16" s="7" t="s">
        <v>19</v>
      </c>
      <c r="C16" s="7"/>
      <c r="D16" s="7"/>
      <c r="E16" s="7"/>
      <c r="F16" s="7"/>
      <c r="G16" s="7"/>
      <c r="H16" s="7"/>
    </row>
    <row r="17" customFormat="false" ht="13.5" hidden="false" customHeight="true" outlineLevel="0" collapsed="false">
      <c r="A17" s="6" t="s">
        <v>20</v>
      </c>
      <c r="B17" s="7" t="s">
        <v>21</v>
      </c>
      <c r="C17" s="7"/>
      <c r="D17" s="7"/>
      <c r="E17" s="7"/>
      <c r="F17" s="7"/>
      <c r="G17" s="7"/>
      <c r="H17" s="7"/>
    </row>
    <row r="18" customFormat="false" ht="13.5" hidden="false" customHeight="true" outlineLevel="0" collapsed="false">
      <c r="A18" s="6" t="s">
        <v>22</v>
      </c>
      <c r="B18" s="7" t="s">
        <v>23</v>
      </c>
      <c r="C18" s="7"/>
      <c r="D18" s="7"/>
      <c r="E18" s="7"/>
      <c r="F18" s="7"/>
      <c r="G18" s="7"/>
      <c r="H18" s="7"/>
    </row>
    <row r="19" customFormat="false" ht="13.5" hidden="false" customHeight="true" outlineLevel="0" collapsed="false">
      <c r="A19" s="6" t="s">
        <v>24</v>
      </c>
      <c r="B19" s="7" t="s">
        <v>25</v>
      </c>
      <c r="C19" s="7"/>
      <c r="D19" s="7"/>
      <c r="E19" s="7"/>
      <c r="F19" s="7"/>
      <c r="G19" s="7"/>
      <c r="H19" s="7"/>
    </row>
    <row r="20" customFormat="false" ht="13.5" hidden="false" customHeight="true" outlineLevel="0" collapsed="false">
      <c r="A20" s="6" t="s">
        <v>26</v>
      </c>
      <c r="B20" s="7" t="s">
        <v>27</v>
      </c>
      <c r="C20" s="7"/>
      <c r="D20" s="7"/>
      <c r="E20" s="7"/>
      <c r="F20" s="7"/>
      <c r="G20" s="7"/>
      <c r="H20" s="7"/>
    </row>
    <row r="21" customFormat="false" ht="13.5" hidden="false" customHeight="true" outlineLevel="0" collapsed="false">
      <c r="A21" s="6" t="s">
        <v>28</v>
      </c>
      <c r="B21" s="7" t="s">
        <v>29</v>
      </c>
      <c r="C21" s="7"/>
      <c r="D21" s="7"/>
      <c r="E21" s="7"/>
      <c r="F21" s="7"/>
      <c r="G21" s="7"/>
      <c r="H21" s="7"/>
    </row>
    <row r="22" customFormat="false" ht="13.5" hidden="false" customHeight="true" outlineLevel="0" collapsed="false">
      <c r="A22" s="6" t="s">
        <v>30</v>
      </c>
      <c r="B22" s="7" t="s">
        <v>31</v>
      </c>
      <c r="C22" s="7"/>
      <c r="D22" s="7"/>
      <c r="E22" s="7"/>
      <c r="F22" s="7"/>
      <c r="G22" s="7"/>
      <c r="H22" s="7"/>
    </row>
    <row r="23" customFormat="false" ht="13.5" hidden="false" customHeight="true" outlineLevel="0" collapsed="false">
      <c r="A23" s="6" t="s">
        <v>32</v>
      </c>
      <c r="B23" s="7" t="s">
        <v>33</v>
      </c>
      <c r="C23" s="7"/>
      <c r="D23" s="7"/>
      <c r="E23" s="7"/>
      <c r="F23" s="7"/>
      <c r="G23" s="7"/>
      <c r="H23" s="7"/>
    </row>
    <row r="24" customFormat="false" ht="13.5" hidden="false" customHeight="true" outlineLevel="0" collapsed="false">
      <c r="A24" s="6" t="s">
        <v>34</v>
      </c>
      <c r="B24" s="7" t="s">
        <v>35</v>
      </c>
      <c r="C24" s="7"/>
      <c r="D24" s="7"/>
      <c r="E24" s="7"/>
      <c r="F24" s="7"/>
      <c r="G24" s="7"/>
      <c r="H24" s="7"/>
    </row>
    <row r="25" customFormat="false" ht="13.5" hidden="false" customHeight="true" outlineLevel="0" collapsed="false">
      <c r="A25" s="6" t="s">
        <v>36</v>
      </c>
      <c r="B25" s="7" t="s">
        <v>37</v>
      </c>
      <c r="C25" s="7"/>
      <c r="D25" s="7"/>
      <c r="E25" s="7"/>
      <c r="F25" s="7"/>
      <c r="G25" s="7"/>
      <c r="H25" s="7"/>
    </row>
    <row r="26" customFormat="false" ht="13.5" hidden="false" customHeight="true" outlineLevel="0" collapsed="false">
      <c r="A26" s="6" t="s">
        <v>38</v>
      </c>
      <c r="B26" s="7" t="s">
        <v>39</v>
      </c>
      <c r="C26" s="7"/>
      <c r="D26" s="7"/>
      <c r="E26" s="7"/>
      <c r="F26" s="7"/>
      <c r="G26" s="7"/>
      <c r="H26" s="7"/>
    </row>
    <row r="27" customFormat="false" ht="18" hidden="false" customHeight="true" outlineLevel="0" collapsed="false">
      <c r="A27" s="4" t="s">
        <v>40</v>
      </c>
      <c r="B27" s="4"/>
      <c r="C27" s="4"/>
      <c r="D27" s="4"/>
      <c r="E27" s="4"/>
      <c r="F27" s="4"/>
      <c r="G27" s="4"/>
      <c r="H27" s="4"/>
    </row>
    <row r="28" customFormat="false" ht="55.5" hidden="false" customHeight="true" outlineLevel="0" collapsed="false">
      <c r="A28" s="5" t="s">
        <v>41</v>
      </c>
      <c r="B28" s="5"/>
      <c r="C28" s="5"/>
      <c r="D28" s="5"/>
      <c r="E28" s="5"/>
      <c r="F28" s="5"/>
      <c r="G28" s="5"/>
      <c r="H28" s="5"/>
    </row>
    <row r="29" customFormat="false" ht="18" hidden="false" customHeight="true" outlineLevel="0" collapsed="false">
      <c r="A29" s="4" t="s">
        <v>42</v>
      </c>
      <c r="B29" s="4"/>
      <c r="C29" s="4"/>
      <c r="D29" s="4"/>
      <c r="E29" s="4"/>
      <c r="F29" s="4"/>
      <c r="G29" s="4"/>
      <c r="H29" s="4"/>
    </row>
    <row r="30" customFormat="false" ht="55.5" hidden="false" customHeight="true" outlineLevel="0" collapsed="false">
      <c r="A30" s="5" t="s">
        <v>43</v>
      </c>
      <c r="B30" s="5"/>
      <c r="C30" s="5"/>
      <c r="D30" s="5"/>
      <c r="E30" s="5"/>
      <c r="F30" s="5"/>
      <c r="G30" s="5"/>
      <c r="H30" s="5"/>
    </row>
    <row r="31" customFormat="false" ht="18" hidden="false" customHeight="true" outlineLevel="0" collapsed="false">
      <c r="A31" s="4" t="s">
        <v>44</v>
      </c>
      <c r="B31" s="4"/>
      <c r="C31" s="4"/>
      <c r="D31" s="4"/>
      <c r="E31" s="4"/>
      <c r="F31" s="4"/>
      <c r="G31" s="4"/>
      <c r="H31" s="4"/>
    </row>
    <row r="32" customFormat="false" ht="84" hidden="false" customHeight="true" outlineLevel="0" collapsed="false">
      <c r="A32" s="5" t="s">
        <v>45</v>
      </c>
      <c r="B32" s="5"/>
      <c r="C32" s="5"/>
      <c r="D32" s="5"/>
      <c r="E32" s="5"/>
      <c r="F32" s="5"/>
      <c r="G32" s="5"/>
      <c r="H32" s="5"/>
    </row>
    <row r="33" customFormat="false" ht="55.5" hidden="false" customHeight="true" outlineLevel="0" collapsed="false">
      <c r="A33" s="5" t="s">
        <v>46</v>
      </c>
      <c r="B33" s="5"/>
      <c r="C33" s="5"/>
      <c r="D33" s="5"/>
      <c r="E33" s="5"/>
      <c r="F33" s="5"/>
      <c r="G33" s="5"/>
      <c r="H33" s="5"/>
    </row>
    <row r="34" customFormat="false" ht="18" hidden="false" customHeight="true" outlineLevel="0" collapsed="false">
      <c r="A34" s="4" t="s">
        <v>47</v>
      </c>
      <c r="B34" s="4"/>
      <c r="C34" s="4"/>
      <c r="D34" s="4"/>
      <c r="E34" s="4"/>
      <c r="F34" s="4"/>
      <c r="G34" s="4"/>
      <c r="H34" s="4"/>
    </row>
    <row r="35" customFormat="false" ht="55.5" hidden="false" customHeight="true" outlineLevel="0" collapsed="false">
      <c r="A35" s="5" t="s">
        <v>48</v>
      </c>
      <c r="B35" s="5"/>
      <c r="C35" s="5"/>
      <c r="D35" s="5"/>
      <c r="E35" s="5"/>
      <c r="F35" s="5"/>
      <c r="G35" s="5"/>
      <c r="H35" s="5"/>
    </row>
    <row r="36" customFormat="false" ht="18" hidden="false" customHeight="true" outlineLevel="0" collapsed="false">
      <c r="A36" s="4" t="s">
        <v>49</v>
      </c>
      <c r="B36" s="4"/>
      <c r="C36" s="4"/>
      <c r="D36" s="4"/>
      <c r="E36" s="4"/>
      <c r="F36" s="4"/>
      <c r="G36" s="4"/>
      <c r="H36" s="4"/>
    </row>
    <row r="37" customFormat="false" ht="42" hidden="false" customHeight="true" outlineLevel="0" collapsed="false">
      <c r="A37" s="5" t="s">
        <v>50</v>
      </c>
      <c r="B37" s="5"/>
      <c r="C37" s="5"/>
      <c r="D37" s="5"/>
      <c r="E37" s="5"/>
      <c r="F37" s="5"/>
      <c r="G37" s="5"/>
      <c r="H37" s="5"/>
    </row>
    <row r="38" customFormat="false" ht="15" hidden="false" customHeight="true" outlineLevel="0" collapsed="false">
      <c r="A38" s="8" t="s">
        <v>51</v>
      </c>
      <c r="B38" s="8"/>
      <c r="C38" s="8"/>
      <c r="D38" s="8"/>
      <c r="E38" s="8"/>
      <c r="F38" s="8"/>
      <c r="G38" s="8"/>
      <c r="H38" s="8"/>
    </row>
    <row r="39" customFormat="false" ht="15" hidden="false" customHeight="true" outlineLevel="0" collapsed="false">
      <c r="A39" s="8" t="s">
        <v>52</v>
      </c>
      <c r="B39" s="8"/>
      <c r="C39" s="8"/>
      <c r="D39" s="8"/>
      <c r="E39" s="8"/>
      <c r="F39" s="8"/>
      <c r="G39" s="8"/>
      <c r="H39" s="8"/>
    </row>
    <row r="40" customFormat="false" ht="15" hidden="false" customHeight="true" outlineLevel="0" collapsed="false">
      <c r="A40" s="8" t="s">
        <v>53</v>
      </c>
      <c r="B40" s="8"/>
      <c r="C40" s="8"/>
      <c r="D40" s="8"/>
      <c r="E40" s="8"/>
      <c r="F40" s="8"/>
      <c r="G40" s="8"/>
      <c r="H40" s="8"/>
    </row>
    <row r="41" customFormat="false" ht="15" hidden="false" customHeight="true" outlineLevel="0" collapsed="false">
      <c r="A41" s="8" t="s">
        <v>54</v>
      </c>
      <c r="B41" s="8"/>
      <c r="C41" s="8"/>
      <c r="D41" s="8"/>
      <c r="E41" s="8"/>
      <c r="F41" s="8"/>
      <c r="G41" s="8"/>
      <c r="H41" s="8"/>
    </row>
    <row r="42" customFormat="false" ht="15" hidden="false" customHeight="true" outlineLevel="0" collapsed="false">
      <c r="A42" s="8" t="s">
        <v>55</v>
      </c>
      <c r="B42" s="8"/>
      <c r="C42" s="8"/>
      <c r="D42" s="8"/>
      <c r="E42" s="8"/>
      <c r="F42" s="8"/>
      <c r="G42" s="8"/>
      <c r="H42" s="8"/>
    </row>
    <row r="43" customFormat="false" ht="15" hidden="false" customHeight="true" outlineLevel="0" collapsed="false">
      <c r="A43" s="8" t="s">
        <v>56</v>
      </c>
      <c r="B43" s="8"/>
      <c r="C43" s="8"/>
      <c r="D43" s="8"/>
      <c r="E43" s="8"/>
      <c r="F43" s="8"/>
      <c r="G43" s="8"/>
      <c r="H43" s="8"/>
    </row>
    <row r="44" customFormat="false" ht="15" hidden="false" customHeight="true" outlineLevel="0" collapsed="false">
      <c r="A44" s="8" t="s">
        <v>57</v>
      </c>
      <c r="B44" s="8"/>
      <c r="C44" s="8"/>
      <c r="D44" s="8"/>
      <c r="E44" s="8"/>
      <c r="F44" s="8"/>
      <c r="G44" s="8"/>
      <c r="H44" s="8"/>
    </row>
    <row r="45" customFormat="false" ht="15" hidden="false" customHeight="true" outlineLevel="0" collapsed="false">
      <c r="A45" s="8" t="s">
        <v>58</v>
      </c>
      <c r="B45" s="8"/>
      <c r="C45" s="8"/>
      <c r="D45" s="8"/>
      <c r="E45" s="8"/>
      <c r="F45" s="8"/>
      <c r="G45" s="8"/>
      <c r="H45" s="8"/>
    </row>
    <row r="46" customFormat="false" ht="15" hidden="false" customHeight="true" outlineLevel="0" collapsed="false">
      <c r="A46" s="8" t="s">
        <v>59</v>
      </c>
      <c r="B46" s="8"/>
      <c r="C46" s="8"/>
      <c r="D46" s="8"/>
      <c r="E46" s="8"/>
      <c r="F46" s="8"/>
      <c r="G46" s="8"/>
      <c r="H46" s="8"/>
    </row>
    <row r="47" customFormat="false" ht="15" hidden="false" customHeight="true" outlineLevel="0" collapsed="false">
      <c r="A47" s="8" t="s">
        <v>60</v>
      </c>
      <c r="B47" s="8"/>
      <c r="C47" s="8"/>
      <c r="D47" s="8"/>
      <c r="E47" s="8"/>
      <c r="F47" s="8"/>
      <c r="G47" s="8"/>
      <c r="H47" s="8"/>
    </row>
    <row r="48" customFormat="false" ht="15" hidden="false" customHeight="true" outlineLevel="0" collapsed="false">
      <c r="A48" s="8" t="s">
        <v>61</v>
      </c>
      <c r="B48" s="8"/>
      <c r="C48" s="8"/>
      <c r="D48" s="8"/>
      <c r="E48" s="8"/>
      <c r="F48" s="8"/>
      <c r="G48" s="8"/>
      <c r="H48" s="8"/>
    </row>
    <row r="49" customFormat="false" ht="15" hidden="false" customHeight="true" outlineLevel="0" collapsed="false">
      <c r="A49" s="8" t="s">
        <v>62</v>
      </c>
      <c r="B49" s="8"/>
      <c r="C49" s="8"/>
      <c r="D49" s="8"/>
      <c r="E49" s="8"/>
      <c r="F49" s="8"/>
      <c r="G49" s="8"/>
      <c r="H49" s="8"/>
    </row>
    <row r="50" customFormat="false" ht="15" hidden="false" customHeight="true" outlineLevel="0" collapsed="false">
      <c r="A50" s="8" t="s">
        <v>63</v>
      </c>
      <c r="B50" s="8"/>
      <c r="C50" s="8"/>
      <c r="D50" s="8"/>
      <c r="E50" s="8"/>
      <c r="F50" s="8"/>
      <c r="G50" s="8"/>
      <c r="H50" s="8"/>
    </row>
    <row r="51" customFormat="false" ht="15" hidden="false" customHeight="true" outlineLevel="0" collapsed="false">
      <c r="A51" s="8" t="s">
        <v>64</v>
      </c>
      <c r="B51" s="8"/>
      <c r="C51" s="8"/>
      <c r="D51" s="8"/>
      <c r="E51" s="8"/>
      <c r="F51" s="8"/>
      <c r="G51" s="8"/>
      <c r="H51" s="8"/>
    </row>
    <row r="52" customFormat="false" ht="15" hidden="false" customHeight="true" outlineLevel="0" collapsed="false">
      <c r="A52" s="8" t="s">
        <v>55</v>
      </c>
      <c r="B52" s="8"/>
      <c r="C52" s="8"/>
      <c r="D52" s="8"/>
      <c r="E52" s="8"/>
      <c r="F52" s="8"/>
      <c r="G52" s="8"/>
      <c r="H52" s="8"/>
    </row>
    <row r="53" customFormat="false" ht="18" hidden="false" customHeight="true" outlineLevel="0" collapsed="false">
      <c r="A53" s="4" t="s">
        <v>65</v>
      </c>
      <c r="B53" s="4"/>
      <c r="C53" s="4"/>
      <c r="D53" s="4"/>
      <c r="E53" s="4"/>
      <c r="F53" s="4"/>
      <c r="G53" s="4"/>
      <c r="H53" s="4"/>
    </row>
    <row r="54" customFormat="false" ht="42" hidden="false" customHeight="true" outlineLevel="0" collapsed="false">
      <c r="A54" s="5" t="s">
        <v>66</v>
      </c>
      <c r="B54" s="5"/>
      <c r="C54" s="5"/>
      <c r="D54" s="5"/>
      <c r="E54" s="5"/>
      <c r="F54" s="5"/>
      <c r="G54" s="5"/>
      <c r="H54" s="5"/>
    </row>
    <row r="55" customFormat="false" ht="18" hidden="false" customHeight="true" outlineLevel="0" collapsed="false">
      <c r="A55" s="4" t="s">
        <v>67</v>
      </c>
      <c r="B55" s="4"/>
      <c r="C55" s="4"/>
      <c r="D55" s="4"/>
      <c r="E55" s="4"/>
      <c r="F55" s="4"/>
      <c r="G55" s="4"/>
      <c r="H55" s="4"/>
    </row>
    <row r="56" customFormat="false" ht="55.5" hidden="false" customHeight="true" outlineLevel="0" collapsed="false">
      <c r="A56" s="5" t="s">
        <v>68</v>
      </c>
      <c r="B56" s="5"/>
      <c r="C56" s="5"/>
      <c r="D56" s="5"/>
      <c r="E56" s="5"/>
      <c r="F56" s="5"/>
      <c r="G56" s="5"/>
      <c r="H56" s="5"/>
    </row>
    <row r="57" customFormat="false" ht="27.75" hidden="false" customHeight="true" outlineLevel="0" collapsed="false">
      <c r="A57" s="5" t="s">
        <v>69</v>
      </c>
      <c r="B57" s="5"/>
      <c r="C57" s="5"/>
      <c r="D57" s="5"/>
      <c r="E57" s="5"/>
      <c r="F57" s="5"/>
      <c r="G57" s="5"/>
      <c r="H57" s="5"/>
    </row>
  </sheetData>
  <mergeCells count="56">
    <mergeCell ref="A1:H1"/>
    <mergeCell ref="A2:H2"/>
    <mergeCell ref="A4:H4"/>
    <mergeCell ref="A5:H5"/>
    <mergeCell ref="A6:H6"/>
    <mergeCell ref="A7:H7"/>
    <mergeCell ref="A8:H8"/>
    <mergeCell ref="B9:H9"/>
    <mergeCell ref="B10:H10"/>
    <mergeCell ref="B11:H11"/>
    <mergeCell ref="A12:H12"/>
    <mergeCell ref="A13:H13"/>
    <mergeCell ref="A14:H14"/>
    <mergeCell ref="B15:H15"/>
    <mergeCell ref="B16:H16"/>
    <mergeCell ref="B17:H17"/>
    <mergeCell ref="B18:H18"/>
    <mergeCell ref="B19:H19"/>
    <mergeCell ref="B20:H20"/>
    <mergeCell ref="B21:H21"/>
    <mergeCell ref="B22:H22"/>
    <mergeCell ref="B23:H23"/>
    <mergeCell ref="B24:H24"/>
    <mergeCell ref="B25:H25"/>
    <mergeCell ref="B26:H26"/>
    <mergeCell ref="A27:H27"/>
    <mergeCell ref="A28:H28"/>
    <mergeCell ref="A29:H29"/>
    <mergeCell ref="A30:H30"/>
    <mergeCell ref="A31:H31"/>
    <mergeCell ref="A32:H32"/>
    <mergeCell ref="A33:H33"/>
    <mergeCell ref="A34:H34"/>
    <mergeCell ref="A35:H35"/>
    <mergeCell ref="A36:H36"/>
    <mergeCell ref="A37:H37"/>
    <mergeCell ref="A38:H38"/>
    <mergeCell ref="A39:H39"/>
    <mergeCell ref="A40:H40"/>
    <mergeCell ref="A41:H41"/>
    <mergeCell ref="A42:H42"/>
    <mergeCell ref="A43:H43"/>
    <mergeCell ref="A44:H44"/>
    <mergeCell ref="A45:H45"/>
    <mergeCell ref="A46:H46"/>
    <mergeCell ref="A47:H47"/>
    <mergeCell ref="A48:H48"/>
    <mergeCell ref="A49:H49"/>
    <mergeCell ref="A50:H50"/>
    <mergeCell ref="A51:H51"/>
    <mergeCell ref="A52:H52"/>
    <mergeCell ref="A53:H53"/>
    <mergeCell ref="A54:H54"/>
    <mergeCell ref="A55:H55"/>
    <mergeCell ref="A56:H56"/>
    <mergeCell ref="A57:H57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13" min="2" style="1" width="11"/>
  </cols>
  <sheetData>
    <row r="1" customFormat="false" ht="25.5" hidden="false" customHeight="true" outlineLevel="0" collapsed="false">
      <c r="A1" s="2" t="s">
        <v>70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" hidden="false" customHeight="true" outlineLevel="0" collapsed="false">
      <c r="A2" s="3" t="s">
        <v>71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4" customFormat="false" ht="15" hidden="false" customHeight="true" outlineLevel="0" collapsed="false">
      <c r="B4" s="9" t="s">
        <v>72</v>
      </c>
      <c r="C4" s="9"/>
      <c r="E4" s="10" t="s">
        <v>73</v>
      </c>
      <c r="F4" s="10"/>
      <c r="H4" s="9" t="s">
        <v>74</v>
      </c>
      <c r="I4" s="9"/>
      <c r="K4" s="10" t="s">
        <v>75</v>
      </c>
      <c r="L4" s="10"/>
    </row>
    <row r="5" customFormat="false" ht="19.5" hidden="false" customHeight="true" outlineLevel="0" collapsed="false">
      <c r="B5" s="11" t="n">
        <f aca="false">Master!C9</f>
        <v>264</v>
      </c>
      <c r="C5" s="11"/>
      <c r="E5" s="12" t="n">
        <f aca="false">Master!C10</f>
        <v>0.456867057673509</v>
      </c>
      <c r="F5" s="12"/>
      <c r="H5" s="13" t="n">
        <f aca="false">Master!C11</f>
        <v>263.409090909091</v>
      </c>
      <c r="I5" s="13"/>
      <c r="K5" s="14" t="n">
        <f aca="false">Master!C12</f>
        <v>53.3844390151515</v>
      </c>
      <c r="L5" s="14"/>
    </row>
    <row r="6" customFormat="false" ht="13.5" hidden="false" customHeight="true" outlineLevel="0" collapsed="false">
      <c r="B6" s="11"/>
      <c r="C6" s="11"/>
      <c r="E6" s="12"/>
      <c r="F6" s="12"/>
      <c r="H6" s="13"/>
      <c r="I6" s="13"/>
      <c r="K6" s="14"/>
      <c r="L6" s="14"/>
    </row>
    <row r="8" customFormat="false" ht="15" hidden="false" customHeight="true" outlineLevel="0" collapsed="false">
      <c r="B8" s="9" t="s">
        <v>76</v>
      </c>
      <c r="C8" s="9"/>
      <c r="E8" s="10" t="s">
        <v>77</v>
      </c>
      <c r="F8" s="10"/>
      <c r="H8" s="9" t="s">
        <v>78</v>
      </c>
      <c r="I8" s="9"/>
      <c r="K8" s="10" t="s">
        <v>79</v>
      </c>
      <c r="L8" s="10"/>
    </row>
    <row r="9" customFormat="false" ht="19.5" hidden="false" customHeight="true" outlineLevel="0" collapsed="false">
      <c r="B9" s="15" t="n">
        <f aca="false">Master!C25</f>
        <v>1.5</v>
      </c>
      <c r="C9" s="15"/>
      <c r="E9" s="14" t="n">
        <f aca="false">SQRT(Master!C25*9.81*7.625)</f>
        <v>10.5925386475575</v>
      </c>
      <c r="F9" s="14"/>
      <c r="H9" s="11" t="n">
        <f aca="false">Springs!B7</f>
        <v>30.5129963161421</v>
      </c>
      <c r="I9" s="11"/>
      <c r="K9" s="14" t="n">
        <f aca="false">Springs!C7</f>
        <v>43.2846152726643</v>
      </c>
      <c r="L9" s="14"/>
    </row>
    <row r="10" customFormat="false" ht="13.5" hidden="false" customHeight="true" outlineLevel="0" collapsed="false">
      <c r="B10" s="15"/>
      <c r="C10" s="15"/>
      <c r="E10" s="14"/>
      <c r="F10" s="14"/>
      <c r="H10" s="11"/>
      <c r="I10" s="11"/>
      <c r="K10" s="14"/>
      <c r="L10" s="14"/>
    </row>
    <row r="12" customFormat="false" ht="15" hidden="false" customHeight="true" outlineLevel="0" collapsed="false">
      <c r="B12" s="9" t="s">
        <v>80</v>
      </c>
      <c r="C12" s="9"/>
      <c r="E12" s="10" t="s">
        <v>81</v>
      </c>
      <c r="F12" s="10"/>
    </row>
    <row r="13" customFormat="false" ht="19.5" hidden="false" customHeight="true" outlineLevel="0" collapsed="false">
      <c r="B13" s="16" t="n">
        <f aca="false">Brakes!B8</f>
        <v>0.71177908113392</v>
      </c>
      <c r="C13" s="16"/>
      <c r="E13" s="14" t="n">
        <f aca="false">Master!C27</f>
        <v>1.5</v>
      </c>
      <c r="F13" s="14"/>
    </row>
    <row r="14" customFormat="false" ht="13.5" hidden="false" customHeight="true" outlineLevel="0" collapsed="false">
      <c r="B14" s="16"/>
      <c r="C14" s="16"/>
      <c r="E14" s="14"/>
      <c r="F14" s="14"/>
    </row>
    <row r="34" customFormat="false" ht="21.75" hidden="false" customHeight="true" outlineLevel="0" collapsed="false">
      <c r="B34" s="17" t="s">
        <v>82</v>
      </c>
      <c r="C34" s="17"/>
      <c r="D34" s="17"/>
      <c r="E34" s="17"/>
      <c r="F34" s="17"/>
      <c r="G34" s="17"/>
      <c r="H34" s="17"/>
      <c r="I34" s="17"/>
      <c r="J34" s="17"/>
      <c r="K34" s="17"/>
      <c r="L34" s="17"/>
    </row>
    <row r="35" customFormat="false" ht="15" hidden="false" customHeight="true" outlineLevel="0" collapsed="false">
      <c r="B35" s="18" t="s">
        <v>83</v>
      </c>
      <c r="C35" s="18"/>
      <c r="D35" s="18"/>
      <c r="E35" s="18"/>
      <c r="F35" s="18"/>
      <c r="H35" s="18" t="s">
        <v>84</v>
      </c>
      <c r="I35" s="18"/>
      <c r="J35" s="18"/>
      <c r="K35" s="18"/>
      <c r="L35" s="18"/>
    </row>
    <row r="36" customFormat="false" ht="15" hidden="false" customHeight="true" outlineLevel="0" collapsed="false">
      <c r="B36" s="19" t="s">
        <v>85</v>
      </c>
      <c r="C36" s="19"/>
      <c r="D36" s="19"/>
      <c r="E36" s="20" t="n">
        <f aca="false">Master!C9</f>
        <v>264</v>
      </c>
      <c r="F36" s="20"/>
      <c r="H36" s="19" t="s">
        <v>86</v>
      </c>
      <c r="I36" s="19"/>
      <c r="J36" s="19"/>
      <c r="K36" s="21" t="n">
        <f aca="false">Master!C35</f>
        <v>1406.62741935484</v>
      </c>
      <c r="L36" s="21"/>
    </row>
    <row r="37" customFormat="false" ht="15" hidden="false" customHeight="true" outlineLevel="0" collapsed="false">
      <c r="B37" s="19" t="s">
        <v>74</v>
      </c>
      <c r="C37" s="19"/>
      <c r="D37" s="19"/>
      <c r="E37" s="21" t="n">
        <f aca="false">Master!C11</f>
        <v>263.409090909091</v>
      </c>
      <c r="F37" s="21"/>
      <c r="H37" s="19" t="s">
        <v>87</v>
      </c>
      <c r="I37" s="19"/>
      <c r="J37" s="19"/>
      <c r="K37" s="21" t="n">
        <f aca="false">Master!C35+LoadTransfer!C8</f>
        <v>2066.80877419355</v>
      </c>
      <c r="L37" s="21"/>
    </row>
    <row r="38" customFormat="false" ht="15" hidden="false" customHeight="true" outlineLevel="0" collapsed="false">
      <c r="B38" s="19" t="s">
        <v>88</v>
      </c>
      <c r="C38" s="19"/>
      <c r="D38" s="19"/>
      <c r="E38" s="21" t="n">
        <f aca="false">Master!C15</f>
        <v>1550</v>
      </c>
      <c r="F38" s="21"/>
      <c r="H38" s="19" t="s">
        <v>89</v>
      </c>
      <c r="I38" s="19"/>
      <c r="J38" s="19"/>
      <c r="K38" s="22" t="n">
        <f aca="false">Master!C20</f>
        <v>1.5</v>
      </c>
      <c r="L38" s="22"/>
    </row>
    <row r="39" customFormat="false" ht="15" hidden="false" customHeight="true" outlineLevel="0" collapsed="false">
      <c r="B39" s="19" t="s">
        <v>90</v>
      </c>
      <c r="C39" s="19"/>
      <c r="D39" s="19"/>
      <c r="E39" s="21" t="n">
        <f aca="false">LoadCases!F5</f>
        <v>1454.25606762808</v>
      </c>
      <c r="F39" s="21"/>
      <c r="H39" s="19" t="s">
        <v>91</v>
      </c>
      <c r="I39" s="19"/>
      <c r="J39" s="19"/>
      <c r="K39" s="21" t="n">
        <f aca="false">Master!C23</f>
        <v>228</v>
      </c>
      <c r="L39" s="21"/>
    </row>
    <row r="40" customFormat="false" ht="15" hidden="false" customHeight="true" outlineLevel="0" collapsed="false">
      <c r="B40" s="23" t="s">
        <v>92</v>
      </c>
      <c r="C40" s="23"/>
      <c r="D40" s="23"/>
      <c r="E40" s="23"/>
      <c r="F40" s="23"/>
      <c r="H40" s="23" t="s">
        <v>93</v>
      </c>
      <c r="I40" s="23"/>
      <c r="J40" s="23"/>
      <c r="K40" s="23"/>
      <c r="L40" s="23"/>
    </row>
    <row r="42" customFormat="false" ht="15" hidden="false" customHeight="true" outlineLevel="0" collapsed="false">
      <c r="B42" s="18" t="s">
        <v>94</v>
      </c>
      <c r="C42" s="18"/>
      <c r="D42" s="18"/>
      <c r="E42" s="18"/>
      <c r="F42" s="18"/>
      <c r="H42" s="18" t="s">
        <v>95</v>
      </c>
      <c r="I42" s="18"/>
      <c r="J42" s="18"/>
      <c r="K42" s="18"/>
      <c r="L42" s="18"/>
    </row>
    <row r="43" customFormat="false" ht="15" hidden="false" customHeight="true" outlineLevel="0" collapsed="false">
      <c r="B43" s="19" t="s">
        <v>72</v>
      </c>
      <c r="C43" s="19"/>
      <c r="D43" s="19"/>
      <c r="E43" s="20" t="n">
        <f aca="false">Master!C9</f>
        <v>264</v>
      </c>
      <c r="F43" s="20"/>
      <c r="H43" s="19" t="s">
        <v>96</v>
      </c>
      <c r="I43" s="19"/>
      <c r="J43" s="19"/>
      <c r="K43" s="21" t="n">
        <f aca="false">LoadTransfer!C15</f>
        <v>1843.39393548387</v>
      </c>
      <c r="L43" s="21"/>
    </row>
    <row r="44" customFormat="false" ht="15" hidden="false" customHeight="true" outlineLevel="0" collapsed="false">
      <c r="B44" s="19" t="s">
        <v>74</v>
      </c>
      <c r="C44" s="19"/>
      <c r="D44" s="19"/>
      <c r="E44" s="21" t="n">
        <f aca="false">Master!C11</f>
        <v>263.409090909091</v>
      </c>
      <c r="F44" s="21"/>
      <c r="H44" s="19" t="s">
        <v>97</v>
      </c>
      <c r="I44" s="19"/>
      <c r="J44" s="19"/>
      <c r="K44" s="21" t="n">
        <f aca="false">LoadTransfer!C16</f>
        <v>746.446064516129</v>
      </c>
      <c r="L44" s="21"/>
    </row>
    <row r="45" customFormat="false" ht="15" hidden="false" customHeight="true" outlineLevel="0" collapsed="false">
      <c r="B45" s="19" t="s">
        <v>98</v>
      </c>
      <c r="C45" s="19"/>
      <c r="D45" s="19"/>
      <c r="E45" s="21" t="n">
        <f aca="false">Master!C18</f>
        <v>40</v>
      </c>
      <c r="F45" s="21"/>
      <c r="H45" s="19" t="s">
        <v>99</v>
      </c>
      <c r="I45" s="19"/>
      <c r="J45" s="19"/>
      <c r="K45" s="24" t="n">
        <f aca="false">(Master!C34+LoadTransfer!C8)/Master!C33</f>
        <v>0.71177908113392</v>
      </c>
      <c r="L45" s="24"/>
    </row>
    <row r="46" customFormat="false" ht="15" hidden="false" customHeight="true" outlineLevel="0" collapsed="false">
      <c r="B46" s="19" t="s">
        <v>76</v>
      </c>
      <c r="C46" s="19"/>
      <c r="D46" s="19"/>
      <c r="E46" s="22" t="n">
        <f aca="false">Master!C25</f>
        <v>1.5</v>
      </c>
      <c r="F46" s="22"/>
      <c r="H46" s="19" t="s">
        <v>100</v>
      </c>
      <c r="I46" s="19"/>
      <c r="J46" s="19"/>
      <c r="K46" s="22" t="n">
        <f aca="false">Master!C26</f>
        <v>1.5</v>
      </c>
      <c r="L46" s="22"/>
    </row>
    <row r="47" customFormat="false" ht="15" hidden="false" customHeight="true" outlineLevel="0" collapsed="false">
      <c r="B47" s="23" t="s">
        <v>101</v>
      </c>
      <c r="C47" s="23"/>
      <c r="D47" s="23"/>
      <c r="E47" s="23"/>
      <c r="F47" s="23"/>
      <c r="H47" s="23" t="s">
        <v>102</v>
      </c>
      <c r="I47" s="23"/>
      <c r="J47" s="23"/>
      <c r="K47" s="23"/>
      <c r="L47" s="23"/>
    </row>
    <row r="49" customFormat="false" ht="15" hidden="false" customHeight="true" outlineLevel="0" collapsed="false">
      <c r="B49" s="18" t="s">
        <v>103</v>
      </c>
      <c r="C49" s="18"/>
      <c r="D49" s="18"/>
      <c r="E49" s="18"/>
      <c r="F49" s="18"/>
      <c r="H49" s="18" t="s">
        <v>104</v>
      </c>
      <c r="I49" s="18"/>
      <c r="J49" s="18"/>
      <c r="K49" s="18"/>
      <c r="L49" s="18"/>
    </row>
    <row r="50" customFormat="false" ht="15" hidden="false" customHeight="true" outlineLevel="0" collapsed="false">
      <c r="B50" s="19" t="s">
        <v>88</v>
      </c>
      <c r="C50" s="19"/>
      <c r="D50" s="19"/>
      <c r="E50" s="21" t="n">
        <f aca="false">Master!C15</f>
        <v>1550</v>
      </c>
      <c r="F50" s="21"/>
      <c r="H50" s="19" t="s">
        <v>76</v>
      </c>
      <c r="I50" s="19"/>
      <c r="J50" s="19"/>
      <c r="K50" s="22" t="n">
        <f aca="false">Master!C25</f>
        <v>1.5</v>
      </c>
      <c r="L50" s="22"/>
    </row>
    <row r="51" customFormat="false" ht="15" hidden="false" customHeight="true" outlineLevel="0" collapsed="false">
      <c r="B51" s="19" t="s">
        <v>72</v>
      </c>
      <c r="C51" s="19"/>
      <c r="D51" s="19"/>
      <c r="E51" s="20" t="n">
        <f aca="false">Master!C9</f>
        <v>264</v>
      </c>
      <c r="F51" s="20"/>
      <c r="H51" s="19" t="s">
        <v>72</v>
      </c>
      <c r="I51" s="19"/>
      <c r="J51" s="19"/>
      <c r="K51" s="20" t="n">
        <f aca="false">Master!C9</f>
        <v>264</v>
      </c>
      <c r="L51" s="20"/>
    </row>
    <row r="52" customFormat="false" ht="15" hidden="false" customHeight="true" outlineLevel="0" collapsed="false">
      <c r="B52" s="19" t="s">
        <v>74</v>
      </c>
      <c r="C52" s="19"/>
      <c r="D52" s="19"/>
      <c r="E52" s="21" t="n">
        <f aca="false">Master!C11</f>
        <v>263.409090909091</v>
      </c>
      <c r="F52" s="21"/>
      <c r="H52" s="19" t="s">
        <v>75</v>
      </c>
      <c r="I52" s="19"/>
      <c r="J52" s="19"/>
      <c r="K52" s="20" t="n">
        <f aca="false">Master!C12</f>
        <v>53.3844390151515</v>
      </c>
      <c r="L52" s="20"/>
    </row>
    <row r="53" customFormat="false" ht="15" hidden="false" customHeight="true" outlineLevel="0" collapsed="false">
      <c r="B53" s="23" t="s">
        <v>105</v>
      </c>
      <c r="C53" s="23"/>
      <c r="D53" s="23"/>
      <c r="E53" s="23"/>
      <c r="F53" s="23"/>
      <c r="H53" s="23" t="s">
        <v>106</v>
      </c>
      <c r="I53" s="23"/>
      <c r="J53" s="23"/>
      <c r="K53" s="23"/>
      <c r="L53" s="23"/>
    </row>
  </sheetData>
  <mergeCells count="79">
    <mergeCell ref="A1:L1"/>
    <mergeCell ref="A2:L2"/>
    <mergeCell ref="B4:C4"/>
    <mergeCell ref="E4:F4"/>
    <mergeCell ref="H4:I4"/>
    <mergeCell ref="K4:L4"/>
    <mergeCell ref="B5:C6"/>
    <mergeCell ref="E5:F6"/>
    <mergeCell ref="H5:I6"/>
    <mergeCell ref="K5:L6"/>
    <mergeCell ref="B8:C8"/>
    <mergeCell ref="E8:F8"/>
    <mergeCell ref="H8:I8"/>
    <mergeCell ref="K8:L8"/>
    <mergeCell ref="B9:C10"/>
    <mergeCell ref="E9:F10"/>
    <mergeCell ref="H9:I10"/>
    <mergeCell ref="K9:L10"/>
    <mergeCell ref="B12:C12"/>
    <mergeCell ref="E12:F12"/>
    <mergeCell ref="B13:C14"/>
    <mergeCell ref="E13:F14"/>
    <mergeCell ref="B34:L34"/>
    <mergeCell ref="B35:F35"/>
    <mergeCell ref="H35:L35"/>
    <mergeCell ref="B36:D36"/>
    <mergeCell ref="E36:F36"/>
    <mergeCell ref="H36:J36"/>
    <mergeCell ref="K36:L36"/>
    <mergeCell ref="B37:D37"/>
    <mergeCell ref="E37:F37"/>
    <mergeCell ref="H37:J37"/>
    <mergeCell ref="K37:L37"/>
    <mergeCell ref="B38:D38"/>
    <mergeCell ref="E38:F38"/>
    <mergeCell ref="H38:J38"/>
    <mergeCell ref="K38:L38"/>
    <mergeCell ref="B39:D39"/>
    <mergeCell ref="E39:F39"/>
    <mergeCell ref="H39:J39"/>
    <mergeCell ref="K39:L39"/>
    <mergeCell ref="B40:F40"/>
    <mergeCell ref="H40:L40"/>
    <mergeCell ref="B42:F42"/>
    <mergeCell ref="H42:L42"/>
    <mergeCell ref="B43:D43"/>
    <mergeCell ref="E43:F43"/>
    <mergeCell ref="H43:J43"/>
    <mergeCell ref="K43:L43"/>
    <mergeCell ref="B44:D44"/>
    <mergeCell ref="E44:F44"/>
    <mergeCell ref="H44:J44"/>
    <mergeCell ref="K44:L44"/>
    <mergeCell ref="B45:D45"/>
    <mergeCell ref="E45:F45"/>
    <mergeCell ref="H45:J45"/>
    <mergeCell ref="K45:L45"/>
    <mergeCell ref="B46:D46"/>
    <mergeCell ref="E46:F46"/>
    <mergeCell ref="H46:J46"/>
    <mergeCell ref="K46:L46"/>
    <mergeCell ref="B47:F47"/>
    <mergeCell ref="H47:L47"/>
    <mergeCell ref="B49:F49"/>
    <mergeCell ref="H49:L49"/>
    <mergeCell ref="B50:D50"/>
    <mergeCell ref="E50:F50"/>
    <mergeCell ref="H50:J50"/>
    <mergeCell ref="K50:L50"/>
    <mergeCell ref="B51:D51"/>
    <mergeCell ref="E51:F51"/>
    <mergeCell ref="H51:J51"/>
    <mergeCell ref="K51:L51"/>
    <mergeCell ref="B52:D52"/>
    <mergeCell ref="E52:F52"/>
    <mergeCell ref="H52:J52"/>
    <mergeCell ref="K52:L52"/>
    <mergeCell ref="B53:F53"/>
    <mergeCell ref="H53:L53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25.5" hidden="false" customHeight="true" outlineLevel="0" collapsed="false">
      <c r="A1" s="2" t="s">
        <v>107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" hidden="false" customHeight="true" outlineLevel="0" collapsed="false">
      <c r="A2" s="3" t="s">
        <v>108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22" customFormat="false" ht="15" hidden="false" customHeight="true" outlineLevel="0" collapsed="false">
      <c r="B22" s="25" t="s">
        <v>109</v>
      </c>
      <c r="K22" s="25" t="s">
        <v>110</v>
      </c>
    </row>
    <row r="42" customFormat="false" ht="15" hidden="false" customHeight="true" outlineLevel="0" collapsed="false">
      <c r="B42" s="25" t="s">
        <v>111</v>
      </c>
      <c r="K42" s="25" t="s">
        <v>112</v>
      </c>
    </row>
  </sheetData>
  <mergeCells count="2">
    <mergeCell ref="A1:L1"/>
    <mergeCell ref="A2:L2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8"/>
    <col collapsed="false" customWidth="true" hidden="false" outlineLevel="0" max="3" min="3" style="1" width="16"/>
    <col collapsed="false" customWidth="true" hidden="false" outlineLevel="0" max="4" min="4" style="1" width="9"/>
    <col collapsed="false" customWidth="true" hidden="false" outlineLevel="0" max="5" min="5" style="1" width="13"/>
    <col collapsed="false" customWidth="true" hidden="false" outlineLevel="0" max="6" min="6" style="1" width="12"/>
    <col collapsed="false" customWidth="true" hidden="false" outlineLevel="0" max="8" min="7" style="1" width="11"/>
    <col collapsed="false" customWidth="true" hidden="false" outlineLevel="0" max="9" min="9" style="1" width="30"/>
  </cols>
  <sheetData>
    <row r="1" customFormat="false" ht="25.5" hidden="false" customHeight="true" outlineLevel="0" collapsed="false">
      <c r="A1" s="2" t="s">
        <v>113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true" outlineLevel="0" collapsed="false">
      <c r="A2" s="3" t="s">
        <v>114</v>
      </c>
      <c r="B2" s="3"/>
      <c r="C2" s="3"/>
      <c r="D2" s="3"/>
      <c r="E2" s="3"/>
      <c r="F2" s="3"/>
      <c r="G2" s="3"/>
      <c r="H2" s="3"/>
      <c r="I2" s="3"/>
    </row>
    <row r="4" customFormat="false" ht="27.75" hidden="false" customHeight="true" outlineLevel="0" collapsed="false">
      <c r="A4" s="26" t="s">
        <v>115</v>
      </c>
      <c r="B4" s="26" t="s">
        <v>116</v>
      </c>
      <c r="C4" s="26" t="s">
        <v>117</v>
      </c>
      <c r="D4" s="26" t="s">
        <v>118</v>
      </c>
      <c r="E4" s="26" t="s">
        <v>119</v>
      </c>
      <c r="F4" s="26" t="s">
        <v>120</v>
      </c>
      <c r="G4" s="26" t="s">
        <v>121</v>
      </c>
      <c r="H4" s="26" t="s">
        <v>122</v>
      </c>
      <c r="I4" s="26" t="s">
        <v>123</v>
      </c>
    </row>
    <row r="5" customFormat="false" ht="18" hidden="false" customHeight="true" outlineLevel="0" collapsed="false">
      <c r="A5" s="4" t="s">
        <v>124</v>
      </c>
      <c r="B5" s="4"/>
      <c r="C5" s="4"/>
      <c r="D5" s="4"/>
      <c r="E5" s="4"/>
      <c r="F5" s="4"/>
      <c r="G5" s="4"/>
      <c r="H5" s="4"/>
      <c r="I5" s="4"/>
    </row>
    <row r="6" customFormat="false" ht="15" hidden="false" customHeight="true" outlineLevel="0" collapsed="false">
      <c r="A6" s="27" t="s">
        <v>125</v>
      </c>
      <c r="B6" s="27" t="s">
        <v>126</v>
      </c>
      <c r="C6" s="28" t="s">
        <v>127</v>
      </c>
      <c r="D6" s="27" t="s">
        <v>126</v>
      </c>
      <c r="E6" s="27" t="s">
        <v>126</v>
      </c>
      <c r="F6" s="27" t="s">
        <v>126</v>
      </c>
      <c r="G6" s="27" t="s">
        <v>128</v>
      </c>
      <c r="H6" s="27" t="s">
        <v>129</v>
      </c>
      <c r="I6" s="29"/>
    </row>
    <row r="7" customFormat="false" ht="15" hidden="false" customHeight="true" outlineLevel="0" collapsed="false">
      <c r="A7" s="27" t="s">
        <v>130</v>
      </c>
      <c r="B7" s="27" t="s">
        <v>126</v>
      </c>
      <c r="C7" s="28" t="s">
        <v>131</v>
      </c>
      <c r="D7" s="27" t="s">
        <v>126</v>
      </c>
      <c r="E7" s="27" t="s">
        <v>126</v>
      </c>
      <c r="F7" s="27" t="s">
        <v>126</v>
      </c>
      <c r="G7" s="27" t="s">
        <v>128</v>
      </c>
      <c r="H7" s="27" t="s">
        <v>129</v>
      </c>
      <c r="I7" s="29"/>
    </row>
    <row r="8" customFormat="false" ht="18" hidden="false" customHeight="true" outlineLevel="0" collapsed="false">
      <c r="A8" s="4" t="s">
        <v>132</v>
      </c>
      <c r="B8" s="4"/>
      <c r="C8" s="4"/>
      <c r="D8" s="4"/>
      <c r="E8" s="4"/>
      <c r="F8" s="4"/>
      <c r="G8" s="4"/>
      <c r="H8" s="4"/>
      <c r="I8" s="4"/>
    </row>
    <row r="9" customFormat="false" ht="15" hidden="false" customHeight="true" outlineLevel="0" collapsed="false">
      <c r="A9" s="27" t="s">
        <v>133</v>
      </c>
      <c r="B9" s="27" t="s">
        <v>134</v>
      </c>
      <c r="C9" s="30" t="n">
        <f aca="false">MassBudget!B28</f>
        <v>264</v>
      </c>
      <c r="D9" s="27" t="s">
        <v>135</v>
      </c>
      <c r="E9" s="27" t="s">
        <v>22</v>
      </c>
      <c r="F9" s="27" t="s">
        <v>136</v>
      </c>
      <c r="G9" s="27" t="s">
        <v>128</v>
      </c>
      <c r="H9" s="27" t="s">
        <v>129</v>
      </c>
      <c r="I9" s="29"/>
    </row>
    <row r="10" customFormat="false" ht="15" hidden="false" customHeight="true" outlineLevel="0" collapsed="false">
      <c r="A10" s="27" t="s">
        <v>137</v>
      </c>
      <c r="B10" s="27" t="s">
        <v>126</v>
      </c>
      <c r="C10" s="31" t="n">
        <f aca="false">MassBudget!B33</f>
        <v>0.456867057673509</v>
      </c>
      <c r="D10" s="27" t="s">
        <v>138</v>
      </c>
      <c r="E10" s="27" t="s">
        <v>22</v>
      </c>
      <c r="F10" s="27" t="s">
        <v>136</v>
      </c>
      <c r="G10" s="27" t="s">
        <v>128</v>
      </c>
      <c r="H10" s="27" t="s">
        <v>129</v>
      </c>
      <c r="I10" s="29"/>
    </row>
    <row r="11" customFormat="false" ht="15" hidden="false" customHeight="true" outlineLevel="0" collapsed="false">
      <c r="A11" s="27" t="s">
        <v>139</v>
      </c>
      <c r="B11" s="27" t="s">
        <v>140</v>
      </c>
      <c r="C11" s="32" t="n">
        <f aca="false">MassBudget!B31</f>
        <v>263.409090909091</v>
      </c>
      <c r="D11" s="27" t="s">
        <v>141</v>
      </c>
      <c r="E11" s="27" t="s">
        <v>22</v>
      </c>
      <c r="F11" s="27" t="s">
        <v>142</v>
      </c>
      <c r="G11" s="27" t="s">
        <v>128</v>
      </c>
      <c r="H11" s="27" t="s">
        <v>129</v>
      </c>
      <c r="I11" s="29"/>
    </row>
    <row r="12" customFormat="false" ht="15" hidden="false" customHeight="true" outlineLevel="0" collapsed="false">
      <c r="A12" s="27" t="s">
        <v>143</v>
      </c>
      <c r="B12" s="27" t="s">
        <v>144</v>
      </c>
      <c r="C12" s="30" t="n">
        <f aca="false">MassBudget!B32</f>
        <v>53.3844390151515</v>
      </c>
      <c r="D12" s="27" t="s">
        <v>145</v>
      </c>
      <c r="E12" s="27" t="s">
        <v>22</v>
      </c>
      <c r="F12" s="27" t="s">
        <v>142</v>
      </c>
      <c r="G12" s="27" t="s">
        <v>128</v>
      </c>
      <c r="H12" s="27" t="s">
        <v>129</v>
      </c>
      <c r="I12" s="29"/>
    </row>
    <row r="13" customFormat="false" ht="15" hidden="false" customHeight="true" outlineLevel="0" collapsed="false">
      <c r="A13" s="27" t="s">
        <v>146</v>
      </c>
      <c r="B13" s="27" t="s">
        <v>147</v>
      </c>
      <c r="C13" s="33" t="n">
        <v>12</v>
      </c>
      <c r="D13" s="27" t="s">
        <v>135</v>
      </c>
      <c r="E13" s="27" t="s">
        <v>148</v>
      </c>
      <c r="F13" s="27" t="s">
        <v>142</v>
      </c>
      <c r="G13" s="27" t="s">
        <v>128</v>
      </c>
      <c r="H13" s="27" t="s">
        <v>129</v>
      </c>
      <c r="I13" s="29"/>
    </row>
    <row r="14" customFormat="false" ht="18" hidden="false" customHeight="true" outlineLevel="0" collapsed="false">
      <c r="A14" s="4" t="s">
        <v>149</v>
      </c>
      <c r="B14" s="4"/>
      <c r="C14" s="4"/>
      <c r="D14" s="4"/>
      <c r="E14" s="4"/>
      <c r="F14" s="4"/>
      <c r="G14" s="4"/>
      <c r="H14" s="4"/>
      <c r="I14" s="4"/>
    </row>
    <row r="15" customFormat="false" ht="15" hidden="false" customHeight="true" outlineLevel="0" collapsed="false">
      <c r="A15" s="27" t="s">
        <v>150</v>
      </c>
      <c r="B15" s="27" t="s">
        <v>151</v>
      </c>
      <c r="C15" s="34" t="n">
        <v>1550</v>
      </c>
      <c r="D15" s="27" t="s">
        <v>141</v>
      </c>
      <c r="E15" s="27" t="s">
        <v>152</v>
      </c>
      <c r="F15" s="27" t="s">
        <v>153</v>
      </c>
      <c r="G15" s="27" t="s">
        <v>128</v>
      </c>
      <c r="H15" s="27" t="s">
        <v>129</v>
      </c>
      <c r="I15" s="29"/>
    </row>
    <row r="16" customFormat="false" ht="15" hidden="false" customHeight="true" outlineLevel="0" collapsed="false">
      <c r="A16" s="27" t="s">
        <v>154</v>
      </c>
      <c r="B16" s="27" t="s">
        <v>155</v>
      </c>
      <c r="C16" s="34" t="n">
        <v>1200</v>
      </c>
      <c r="D16" s="27" t="s">
        <v>141</v>
      </c>
      <c r="E16" s="27" t="s">
        <v>152</v>
      </c>
      <c r="F16" s="27" t="s">
        <v>153</v>
      </c>
      <c r="G16" s="27" t="s">
        <v>128</v>
      </c>
      <c r="H16" s="27" t="s">
        <v>129</v>
      </c>
      <c r="I16" s="29"/>
    </row>
    <row r="17" customFormat="false" ht="15" hidden="false" customHeight="true" outlineLevel="0" collapsed="false">
      <c r="A17" s="27" t="s">
        <v>156</v>
      </c>
      <c r="B17" s="27" t="s">
        <v>157</v>
      </c>
      <c r="C17" s="34" t="n">
        <v>1180</v>
      </c>
      <c r="D17" s="27" t="s">
        <v>141</v>
      </c>
      <c r="E17" s="27" t="s">
        <v>152</v>
      </c>
      <c r="F17" s="27" t="s">
        <v>153</v>
      </c>
      <c r="G17" s="27" t="s">
        <v>128</v>
      </c>
      <c r="H17" s="27" t="s">
        <v>129</v>
      </c>
      <c r="I17" s="29"/>
    </row>
    <row r="18" customFormat="false" ht="15" hidden="false" customHeight="true" outlineLevel="0" collapsed="false">
      <c r="A18" s="27" t="s">
        <v>158</v>
      </c>
      <c r="B18" s="27" t="s">
        <v>126</v>
      </c>
      <c r="C18" s="34" t="n">
        <v>40</v>
      </c>
      <c r="D18" s="27" t="s">
        <v>141</v>
      </c>
      <c r="E18" s="27" t="s">
        <v>152</v>
      </c>
      <c r="F18" s="27" t="s">
        <v>126</v>
      </c>
      <c r="G18" s="27" t="s">
        <v>128</v>
      </c>
      <c r="H18" s="27" t="s">
        <v>129</v>
      </c>
      <c r="I18" s="29"/>
    </row>
    <row r="19" customFormat="false" ht="18" hidden="false" customHeight="true" outlineLevel="0" collapsed="false">
      <c r="A19" s="4" t="s">
        <v>159</v>
      </c>
      <c r="B19" s="4"/>
      <c r="C19" s="4"/>
      <c r="D19" s="4"/>
      <c r="E19" s="4"/>
      <c r="F19" s="4"/>
      <c r="G19" s="4"/>
      <c r="H19" s="4"/>
      <c r="I19" s="4"/>
    </row>
    <row r="20" customFormat="false" ht="15" hidden="false" customHeight="true" outlineLevel="0" collapsed="false">
      <c r="A20" s="27" t="s">
        <v>160</v>
      </c>
      <c r="B20" s="27" t="s">
        <v>161</v>
      </c>
      <c r="C20" s="35" t="n">
        <f aca="false">Tyre!C7</f>
        <v>1.5</v>
      </c>
      <c r="D20" s="27" t="s">
        <v>138</v>
      </c>
      <c r="E20" s="27" t="s">
        <v>24</v>
      </c>
      <c r="F20" s="27" t="s">
        <v>126</v>
      </c>
      <c r="G20" s="27" t="s">
        <v>128</v>
      </c>
      <c r="H20" s="27" t="s">
        <v>129</v>
      </c>
      <c r="I20" s="29"/>
    </row>
    <row r="21" customFormat="false" ht="15" hidden="false" customHeight="true" outlineLevel="0" collapsed="false">
      <c r="A21" s="27" t="s">
        <v>162</v>
      </c>
      <c r="B21" s="27" t="s">
        <v>163</v>
      </c>
      <c r="C21" s="32" t="n">
        <f aca="false">Tyre!C8</f>
        <v>1100</v>
      </c>
      <c r="D21" s="27" t="s">
        <v>164</v>
      </c>
      <c r="E21" s="27" t="s">
        <v>24</v>
      </c>
      <c r="F21" s="27" t="s">
        <v>126</v>
      </c>
      <c r="G21" s="27" t="s">
        <v>128</v>
      </c>
      <c r="H21" s="27" t="s">
        <v>129</v>
      </c>
      <c r="I21" s="29"/>
    </row>
    <row r="22" customFormat="false" ht="15" hidden="false" customHeight="true" outlineLevel="0" collapsed="false">
      <c r="A22" s="27" t="s">
        <v>165</v>
      </c>
      <c r="B22" s="27" t="s">
        <v>166</v>
      </c>
      <c r="C22" s="30" t="n">
        <f aca="false">Tyre!C9</f>
        <v>7</v>
      </c>
      <c r="D22" s="27" t="s">
        <v>167</v>
      </c>
      <c r="E22" s="27" t="s">
        <v>24</v>
      </c>
      <c r="F22" s="27" t="s">
        <v>126</v>
      </c>
      <c r="G22" s="27" t="s">
        <v>128</v>
      </c>
      <c r="H22" s="27" t="s">
        <v>129</v>
      </c>
      <c r="I22" s="29"/>
    </row>
    <row r="23" customFormat="false" ht="15" hidden="false" customHeight="true" outlineLevel="0" collapsed="false">
      <c r="A23" s="27" t="s">
        <v>168</v>
      </c>
      <c r="B23" s="27" t="s">
        <v>169</v>
      </c>
      <c r="C23" s="32" t="n">
        <f aca="false">Tyre!C15</f>
        <v>228</v>
      </c>
      <c r="D23" s="27" t="s">
        <v>141</v>
      </c>
      <c r="E23" s="27" t="s">
        <v>24</v>
      </c>
      <c r="F23" s="27" t="s">
        <v>126</v>
      </c>
      <c r="G23" s="27" t="s">
        <v>128</v>
      </c>
      <c r="H23" s="27" t="s">
        <v>129</v>
      </c>
      <c r="I23" s="29"/>
    </row>
    <row r="24" customFormat="false" ht="18" hidden="false" customHeight="true" outlineLevel="0" collapsed="false">
      <c r="A24" s="4" t="s">
        <v>170</v>
      </c>
      <c r="B24" s="4"/>
      <c r="C24" s="4"/>
      <c r="D24" s="4"/>
      <c r="E24" s="4"/>
      <c r="F24" s="4"/>
      <c r="G24" s="4"/>
      <c r="H24" s="4"/>
      <c r="I24" s="4"/>
    </row>
    <row r="25" customFormat="false" ht="15" hidden="false" customHeight="true" outlineLevel="0" collapsed="false">
      <c r="A25" s="27" t="s">
        <v>171</v>
      </c>
      <c r="B25" s="27" t="s">
        <v>172</v>
      </c>
      <c r="C25" s="36" t="n">
        <v>1.5</v>
      </c>
      <c r="D25" s="27" t="s">
        <v>173</v>
      </c>
      <c r="E25" s="27" t="s">
        <v>174</v>
      </c>
      <c r="F25" s="27" t="s">
        <v>126</v>
      </c>
      <c r="G25" s="27" t="s">
        <v>128</v>
      </c>
      <c r="H25" s="27" t="s">
        <v>129</v>
      </c>
      <c r="I25" s="29"/>
    </row>
    <row r="26" customFormat="false" ht="15" hidden="false" customHeight="true" outlineLevel="0" collapsed="false">
      <c r="A26" s="27" t="s">
        <v>175</v>
      </c>
      <c r="B26" s="27" t="s">
        <v>176</v>
      </c>
      <c r="C26" s="36" t="n">
        <v>1.5</v>
      </c>
      <c r="D26" s="27" t="s">
        <v>173</v>
      </c>
      <c r="E26" s="27" t="s">
        <v>177</v>
      </c>
      <c r="F26" s="27" t="s">
        <v>126</v>
      </c>
      <c r="G26" s="27" t="s">
        <v>178</v>
      </c>
      <c r="H26" s="27" t="s">
        <v>129</v>
      </c>
      <c r="I26" s="29"/>
    </row>
    <row r="27" customFormat="false" ht="15" hidden="false" customHeight="true" outlineLevel="0" collapsed="false">
      <c r="A27" s="27" t="s">
        <v>179</v>
      </c>
      <c r="B27" s="27" t="s">
        <v>126</v>
      </c>
      <c r="C27" s="33" t="n">
        <v>1.5</v>
      </c>
      <c r="D27" s="27" t="s">
        <v>180</v>
      </c>
      <c r="E27" s="27" t="s">
        <v>128</v>
      </c>
      <c r="F27" s="27" t="s">
        <v>126</v>
      </c>
      <c r="G27" s="27" t="s">
        <v>128</v>
      </c>
      <c r="H27" s="27" t="s">
        <v>129</v>
      </c>
      <c r="I27" s="29"/>
    </row>
    <row r="28" customFormat="false" ht="15" hidden="false" customHeight="true" outlineLevel="0" collapsed="false">
      <c r="A28" s="27" t="s">
        <v>181</v>
      </c>
      <c r="B28" s="27" t="s">
        <v>182</v>
      </c>
      <c r="C28" s="36" t="n">
        <v>2.8</v>
      </c>
      <c r="D28" s="27" t="s">
        <v>183</v>
      </c>
      <c r="E28" s="27" t="s">
        <v>128</v>
      </c>
      <c r="F28" s="27" t="s">
        <v>126</v>
      </c>
      <c r="G28" s="27" t="s">
        <v>128</v>
      </c>
      <c r="H28" s="27" t="s">
        <v>129</v>
      </c>
      <c r="I28" s="29"/>
    </row>
    <row r="29" customFormat="false" ht="15" hidden="false" customHeight="true" outlineLevel="0" collapsed="false">
      <c r="A29" s="27" t="s">
        <v>184</v>
      </c>
      <c r="B29" s="27" t="s">
        <v>185</v>
      </c>
      <c r="C29" s="36" t="n">
        <v>3</v>
      </c>
      <c r="D29" s="27" t="s">
        <v>183</v>
      </c>
      <c r="E29" s="27" t="s">
        <v>128</v>
      </c>
      <c r="F29" s="27" t="s">
        <v>126</v>
      </c>
      <c r="G29" s="27" t="s">
        <v>128</v>
      </c>
      <c r="H29" s="27" t="s">
        <v>129</v>
      </c>
      <c r="I29" s="29"/>
    </row>
    <row r="30" customFormat="false" ht="15" hidden="false" customHeight="true" outlineLevel="0" collapsed="false">
      <c r="A30" s="27" t="s">
        <v>186</v>
      </c>
      <c r="B30" s="27" t="s">
        <v>126</v>
      </c>
      <c r="C30" s="37" t="n">
        <v>0.52</v>
      </c>
      <c r="D30" s="27" t="s">
        <v>138</v>
      </c>
      <c r="E30" s="27" t="s">
        <v>128</v>
      </c>
      <c r="F30" s="27" t="s">
        <v>126</v>
      </c>
      <c r="G30" s="27" t="s">
        <v>128</v>
      </c>
      <c r="H30" s="27" t="s">
        <v>129</v>
      </c>
      <c r="I30" s="29"/>
    </row>
    <row r="31" customFormat="false" ht="15" hidden="false" customHeight="true" outlineLevel="0" collapsed="false">
      <c r="A31" s="27" t="s">
        <v>187</v>
      </c>
      <c r="B31" s="27" t="s">
        <v>188</v>
      </c>
      <c r="C31" s="36" t="n">
        <v>0.7</v>
      </c>
      <c r="D31" s="27" t="s">
        <v>138</v>
      </c>
      <c r="E31" s="27" t="s">
        <v>128</v>
      </c>
      <c r="F31" s="27" t="s">
        <v>189</v>
      </c>
      <c r="G31" s="27" t="s">
        <v>128</v>
      </c>
      <c r="H31" s="27" t="s">
        <v>129</v>
      </c>
      <c r="I31" s="29"/>
    </row>
    <row r="32" customFormat="false" ht="18" hidden="false" customHeight="true" outlineLevel="0" collapsed="false">
      <c r="A32" s="4" t="s">
        <v>190</v>
      </c>
      <c r="B32" s="4"/>
      <c r="C32" s="4"/>
      <c r="D32" s="4"/>
      <c r="E32" s="4"/>
      <c r="F32" s="4"/>
      <c r="G32" s="4"/>
      <c r="H32" s="4"/>
      <c r="I32" s="4"/>
    </row>
    <row r="33" customFormat="false" ht="15" hidden="false" customHeight="true" outlineLevel="0" collapsed="false">
      <c r="A33" s="27" t="s">
        <v>191</v>
      </c>
      <c r="B33" s="27" t="s">
        <v>192</v>
      </c>
      <c r="C33" s="38" t="n">
        <f aca="false">C9*9.81</f>
        <v>2589.84</v>
      </c>
      <c r="D33" s="27" t="s">
        <v>193</v>
      </c>
      <c r="E33" s="27" t="s">
        <v>194</v>
      </c>
      <c r="F33" s="27" t="s">
        <v>136</v>
      </c>
      <c r="G33" s="27" t="s">
        <v>128</v>
      </c>
      <c r="H33" s="27" t="s">
        <v>129</v>
      </c>
      <c r="I33" s="29"/>
    </row>
    <row r="34" customFormat="false" ht="15" hidden="false" customHeight="true" outlineLevel="0" collapsed="false">
      <c r="A34" s="27" t="s">
        <v>195</v>
      </c>
      <c r="B34" s="27" t="s">
        <v>196</v>
      </c>
      <c r="C34" s="38" t="n">
        <f aca="false">C33*C10</f>
        <v>1183.21258064516</v>
      </c>
      <c r="D34" s="27" t="s">
        <v>193</v>
      </c>
      <c r="E34" s="27" t="s">
        <v>197</v>
      </c>
      <c r="F34" s="27" t="s">
        <v>136</v>
      </c>
      <c r="G34" s="27" t="s">
        <v>128</v>
      </c>
      <c r="H34" s="27" t="s">
        <v>129</v>
      </c>
      <c r="I34" s="29"/>
    </row>
    <row r="35" customFormat="false" ht="15" hidden="false" customHeight="true" outlineLevel="0" collapsed="false">
      <c r="A35" s="27" t="s">
        <v>198</v>
      </c>
      <c r="B35" s="27" t="s">
        <v>199</v>
      </c>
      <c r="C35" s="38" t="n">
        <f aca="false">C33*(1-C10)</f>
        <v>1406.62741935484</v>
      </c>
      <c r="D35" s="27" t="s">
        <v>193</v>
      </c>
      <c r="E35" s="27" t="s">
        <v>197</v>
      </c>
      <c r="F35" s="27" t="s">
        <v>136</v>
      </c>
      <c r="G35" s="27" t="s">
        <v>128</v>
      </c>
      <c r="H35" s="27" t="s">
        <v>129</v>
      </c>
      <c r="I35" s="29"/>
    </row>
    <row r="36" customFormat="false" ht="15" hidden="false" customHeight="true" outlineLevel="0" collapsed="false">
      <c r="A36" s="27" t="s">
        <v>200</v>
      </c>
      <c r="B36" s="27" t="s">
        <v>201</v>
      </c>
      <c r="C36" s="38" t="n">
        <f aca="false">(C16+C17)/2</f>
        <v>1190</v>
      </c>
      <c r="D36" s="27" t="s">
        <v>141</v>
      </c>
      <c r="E36" s="27" t="s">
        <v>197</v>
      </c>
      <c r="F36" s="27" t="s">
        <v>136</v>
      </c>
      <c r="G36" s="27" t="s">
        <v>128</v>
      </c>
      <c r="H36" s="27" t="s">
        <v>129</v>
      </c>
      <c r="I36" s="29"/>
    </row>
  </sheetData>
  <mergeCells count="8">
    <mergeCell ref="A1:I1"/>
    <mergeCell ref="A2:I2"/>
    <mergeCell ref="A5:I5"/>
    <mergeCell ref="A8:I8"/>
    <mergeCell ref="A14:I14"/>
    <mergeCell ref="A19:I19"/>
    <mergeCell ref="A24:I24"/>
    <mergeCell ref="A32:I32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1"/>
    <col collapsed="false" customWidth="true" hidden="false" outlineLevel="0" max="3" min="3" style="1" width="16"/>
    <col collapsed="false" customWidth="true" hidden="false" outlineLevel="0" max="4" min="4" style="1" width="14"/>
    <col collapsed="false" customWidth="true" hidden="false" outlineLevel="0" max="5" min="5" style="1" width="13"/>
    <col collapsed="false" customWidth="true" hidden="false" outlineLevel="0" max="6" min="6" style="1" width="11"/>
    <col collapsed="false" customWidth="true" hidden="false" outlineLevel="0" max="7" min="7" style="1" width="14"/>
    <col collapsed="false" customWidth="true" hidden="false" outlineLevel="0" max="8" min="8" style="1" width="26"/>
  </cols>
  <sheetData>
    <row r="1" customFormat="false" ht="25.5" hidden="false" customHeight="true" outlineLevel="0" collapsed="false">
      <c r="A1" s="2" t="s">
        <v>202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true" outlineLevel="0" collapsed="false">
      <c r="A2" s="3" t="s">
        <v>203</v>
      </c>
      <c r="B2" s="3"/>
      <c r="C2" s="3"/>
      <c r="D2" s="3"/>
      <c r="E2" s="3"/>
      <c r="F2" s="3"/>
      <c r="G2" s="3"/>
      <c r="H2" s="3"/>
      <c r="I2" s="3"/>
    </row>
    <row r="4" customFormat="false" ht="27.75" hidden="false" customHeight="true" outlineLevel="0" collapsed="false">
      <c r="A4" s="26" t="s">
        <v>204</v>
      </c>
      <c r="B4" s="26" t="s">
        <v>205</v>
      </c>
      <c r="C4" s="26" t="s">
        <v>206</v>
      </c>
      <c r="D4" s="26" t="s">
        <v>207</v>
      </c>
      <c r="E4" s="26" t="s">
        <v>208</v>
      </c>
      <c r="F4" s="26" t="s">
        <v>209</v>
      </c>
      <c r="G4" s="26" t="s">
        <v>121</v>
      </c>
      <c r="H4" s="26" t="s">
        <v>123</v>
      </c>
    </row>
    <row r="5" customFormat="false" ht="15" hidden="false" customHeight="true" outlineLevel="0" collapsed="false">
      <c r="A5" s="27" t="s">
        <v>210</v>
      </c>
      <c r="B5" s="33" t="n">
        <v>38</v>
      </c>
      <c r="C5" s="34" t="n">
        <v>1250</v>
      </c>
      <c r="D5" s="34" t="n">
        <v>0</v>
      </c>
      <c r="E5" s="34" t="n">
        <v>260</v>
      </c>
      <c r="F5" s="28" t="s">
        <v>148</v>
      </c>
      <c r="G5" s="28" t="s">
        <v>211</v>
      </c>
      <c r="H5" s="28"/>
    </row>
    <row r="6" customFormat="false" ht="15" hidden="false" customHeight="true" outlineLevel="0" collapsed="false">
      <c r="A6" s="27" t="s">
        <v>212</v>
      </c>
      <c r="B6" s="33" t="n">
        <v>34</v>
      </c>
      <c r="C6" s="34" t="n">
        <v>780</v>
      </c>
      <c r="D6" s="34" t="n">
        <v>0</v>
      </c>
      <c r="E6" s="34" t="n">
        <v>250</v>
      </c>
      <c r="F6" s="28" t="s">
        <v>148</v>
      </c>
      <c r="G6" s="28" t="s">
        <v>213</v>
      </c>
      <c r="H6" s="28"/>
    </row>
    <row r="7" customFormat="false" ht="15" hidden="false" customHeight="true" outlineLevel="0" collapsed="false">
      <c r="A7" s="27" t="s">
        <v>214</v>
      </c>
      <c r="B7" s="33" t="n">
        <v>75</v>
      </c>
      <c r="C7" s="34" t="n">
        <v>560</v>
      </c>
      <c r="D7" s="34" t="n">
        <v>0</v>
      </c>
      <c r="E7" s="34" t="n">
        <v>300</v>
      </c>
      <c r="F7" s="28" t="s">
        <v>215</v>
      </c>
      <c r="G7" s="28" t="s">
        <v>128</v>
      </c>
      <c r="H7" s="28"/>
    </row>
    <row r="8" customFormat="false" ht="15" hidden="false" customHeight="true" outlineLevel="0" collapsed="false">
      <c r="A8" s="27" t="s">
        <v>216</v>
      </c>
      <c r="B8" s="33" t="n">
        <v>9</v>
      </c>
      <c r="C8" s="34" t="n">
        <v>1420</v>
      </c>
      <c r="D8" s="34" t="n">
        <v>0</v>
      </c>
      <c r="E8" s="34" t="n">
        <v>230</v>
      </c>
      <c r="F8" s="28" t="s">
        <v>148</v>
      </c>
      <c r="G8" s="28" t="s">
        <v>211</v>
      </c>
      <c r="H8" s="28"/>
    </row>
    <row r="9" customFormat="false" ht="15" hidden="false" customHeight="true" outlineLevel="0" collapsed="false">
      <c r="A9" s="27" t="s">
        <v>217</v>
      </c>
      <c r="B9" s="33" t="n">
        <v>6</v>
      </c>
      <c r="C9" s="34" t="n">
        <v>1500</v>
      </c>
      <c r="D9" s="34" t="n">
        <v>0</v>
      </c>
      <c r="E9" s="34" t="n">
        <v>220</v>
      </c>
      <c r="F9" s="28" t="s">
        <v>148</v>
      </c>
      <c r="G9" s="28" t="s">
        <v>211</v>
      </c>
      <c r="H9" s="28"/>
    </row>
    <row r="10" customFormat="false" ht="15" hidden="false" customHeight="true" outlineLevel="0" collapsed="false">
      <c r="A10" s="27" t="s">
        <v>218</v>
      </c>
      <c r="B10" s="33" t="n">
        <v>4</v>
      </c>
      <c r="C10" s="34" t="n">
        <v>1150</v>
      </c>
      <c r="D10" s="34" t="n">
        <v>0</v>
      </c>
      <c r="E10" s="34" t="n">
        <v>260</v>
      </c>
      <c r="F10" s="28" t="s">
        <v>142</v>
      </c>
      <c r="G10" s="28" t="s">
        <v>211</v>
      </c>
      <c r="H10" s="28"/>
    </row>
    <row r="11" customFormat="false" ht="15" hidden="false" customHeight="true" outlineLevel="0" collapsed="false">
      <c r="A11" s="27" t="s">
        <v>219</v>
      </c>
      <c r="B11" s="33" t="n">
        <v>6</v>
      </c>
      <c r="C11" s="34" t="n">
        <v>1480</v>
      </c>
      <c r="D11" s="34" t="n">
        <v>-200</v>
      </c>
      <c r="E11" s="34" t="n">
        <v>340</v>
      </c>
      <c r="F11" s="28" t="s">
        <v>148</v>
      </c>
      <c r="G11" s="28" t="s">
        <v>220</v>
      </c>
      <c r="H11" s="28"/>
    </row>
    <row r="12" customFormat="false" ht="15" hidden="false" customHeight="true" outlineLevel="0" collapsed="false">
      <c r="A12" s="27" t="s">
        <v>221</v>
      </c>
      <c r="B12" s="33" t="n">
        <v>14</v>
      </c>
      <c r="C12" s="34" t="n">
        <v>0</v>
      </c>
      <c r="D12" s="34" t="n">
        <v>0</v>
      </c>
      <c r="E12" s="34" t="n">
        <v>230</v>
      </c>
      <c r="F12" s="28" t="s">
        <v>148</v>
      </c>
      <c r="G12" s="28" t="s">
        <v>128</v>
      </c>
      <c r="H12" s="28"/>
    </row>
    <row r="13" customFormat="false" ht="15" hidden="false" customHeight="true" outlineLevel="0" collapsed="false">
      <c r="A13" s="27" t="s">
        <v>222</v>
      </c>
      <c r="B13" s="33" t="n">
        <v>15</v>
      </c>
      <c r="C13" s="34" t="n">
        <v>1550</v>
      </c>
      <c r="D13" s="34" t="n">
        <v>0</v>
      </c>
      <c r="E13" s="34" t="n">
        <v>230</v>
      </c>
      <c r="F13" s="28" t="s">
        <v>148</v>
      </c>
      <c r="G13" s="28" t="s">
        <v>128</v>
      </c>
      <c r="H13" s="28"/>
    </row>
    <row r="14" customFormat="false" ht="15" hidden="false" customHeight="true" outlineLevel="0" collapsed="false">
      <c r="A14" s="27" t="s">
        <v>223</v>
      </c>
      <c r="B14" s="33" t="n">
        <v>10</v>
      </c>
      <c r="C14" s="34" t="n">
        <v>0</v>
      </c>
      <c r="D14" s="34" t="n">
        <v>0</v>
      </c>
      <c r="E14" s="34" t="n">
        <v>230</v>
      </c>
      <c r="F14" s="28" t="s">
        <v>224</v>
      </c>
      <c r="G14" s="28" t="s">
        <v>128</v>
      </c>
      <c r="H14" s="28"/>
    </row>
    <row r="15" customFormat="false" ht="15" hidden="false" customHeight="true" outlineLevel="0" collapsed="false">
      <c r="A15" s="27" t="s">
        <v>225</v>
      </c>
      <c r="B15" s="33" t="n">
        <v>11</v>
      </c>
      <c r="C15" s="34" t="n">
        <v>1550</v>
      </c>
      <c r="D15" s="34" t="n">
        <v>0</v>
      </c>
      <c r="E15" s="34" t="n">
        <v>230</v>
      </c>
      <c r="F15" s="28" t="s">
        <v>224</v>
      </c>
      <c r="G15" s="28" t="s">
        <v>128</v>
      </c>
      <c r="H15" s="28"/>
    </row>
    <row r="16" customFormat="false" ht="15" hidden="false" customHeight="true" outlineLevel="0" collapsed="false">
      <c r="A16" s="27" t="s">
        <v>226</v>
      </c>
      <c r="B16" s="33" t="n">
        <v>12</v>
      </c>
      <c r="C16" s="34" t="n">
        <v>900</v>
      </c>
      <c r="D16" s="34" t="n">
        <v>0</v>
      </c>
      <c r="E16" s="34" t="n">
        <v>180</v>
      </c>
      <c r="F16" s="28" t="s">
        <v>148</v>
      </c>
      <c r="G16" s="28" t="s">
        <v>220</v>
      </c>
      <c r="H16" s="28"/>
    </row>
    <row r="17" customFormat="false" ht="15" hidden="false" customHeight="true" outlineLevel="0" collapsed="false">
      <c r="A17" s="27" t="s">
        <v>227</v>
      </c>
      <c r="B17" s="33" t="n">
        <v>4</v>
      </c>
      <c r="C17" s="34" t="n">
        <v>700</v>
      </c>
      <c r="D17" s="34" t="n">
        <v>250</v>
      </c>
      <c r="E17" s="34" t="n">
        <v>200</v>
      </c>
      <c r="F17" s="28" t="s">
        <v>224</v>
      </c>
      <c r="G17" s="28" t="s">
        <v>228</v>
      </c>
      <c r="H17" s="28"/>
    </row>
    <row r="18" customFormat="false" ht="15" hidden="false" customHeight="true" outlineLevel="0" collapsed="false">
      <c r="A18" s="27" t="s">
        <v>229</v>
      </c>
      <c r="B18" s="33" t="n">
        <v>5</v>
      </c>
      <c r="C18" s="34" t="n">
        <v>850</v>
      </c>
      <c r="D18" s="34" t="n">
        <v>0</v>
      </c>
      <c r="E18" s="34" t="n">
        <v>320</v>
      </c>
      <c r="F18" s="28" t="s">
        <v>142</v>
      </c>
      <c r="G18" s="28" t="s">
        <v>228</v>
      </c>
      <c r="H18" s="28"/>
    </row>
    <row r="19" customFormat="false" ht="15" hidden="false" customHeight="true" outlineLevel="0" collapsed="false">
      <c r="A19" s="27" t="s">
        <v>230</v>
      </c>
      <c r="B19" s="33" t="n">
        <v>7</v>
      </c>
      <c r="C19" s="34" t="n">
        <v>780</v>
      </c>
      <c r="D19" s="34" t="n">
        <v>0</v>
      </c>
      <c r="E19" s="34" t="n">
        <v>260</v>
      </c>
      <c r="F19" s="28" t="s">
        <v>148</v>
      </c>
      <c r="G19" s="28" t="s">
        <v>178</v>
      </c>
      <c r="H19" s="28"/>
    </row>
    <row r="20" customFormat="false" ht="15" hidden="false" customHeight="true" outlineLevel="0" collapsed="false">
      <c r="A20" s="27" t="s">
        <v>231</v>
      </c>
      <c r="B20" s="33" t="n">
        <v>6</v>
      </c>
      <c r="C20" s="34" t="n">
        <v>350</v>
      </c>
      <c r="D20" s="34" t="n">
        <v>0</v>
      </c>
      <c r="E20" s="34" t="n">
        <v>320</v>
      </c>
      <c r="F20" s="28" t="s">
        <v>148</v>
      </c>
      <c r="G20" s="28" t="s">
        <v>128</v>
      </c>
      <c r="H20" s="28"/>
    </row>
    <row r="21" customFormat="false" ht="15" hidden="false" customHeight="true" outlineLevel="0" collapsed="false">
      <c r="A21" s="27" t="s">
        <v>232</v>
      </c>
      <c r="B21" s="33" t="n">
        <v>5</v>
      </c>
      <c r="C21" s="34" t="n">
        <v>560</v>
      </c>
      <c r="D21" s="34" t="n">
        <v>0</v>
      </c>
      <c r="E21" s="34" t="n">
        <v>280</v>
      </c>
      <c r="F21" s="28" t="s">
        <v>148</v>
      </c>
      <c r="G21" s="28" t="s">
        <v>128</v>
      </c>
      <c r="H21" s="28"/>
    </row>
    <row r="22" customFormat="false" ht="15" hidden="false" customHeight="true" outlineLevel="0" collapsed="false">
      <c r="A22" s="27" t="s">
        <v>233</v>
      </c>
      <c r="B22" s="33" t="n">
        <v>3</v>
      </c>
      <c r="C22" s="34" t="n">
        <v>820</v>
      </c>
      <c r="D22" s="34" t="n">
        <v>0</v>
      </c>
      <c r="E22" s="34" t="n">
        <v>330</v>
      </c>
      <c r="F22" s="28" t="s">
        <v>148</v>
      </c>
      <c r="G22" s="28" t="s">
        <v>234</v>
      </c>
      <c r="H22" s="28"/>
    </row>
    <row r="23" customFormat="false" ht="15" hidden="false" customHeight="true" outlineLevel="0" collapsed="false">
      <c r="A23" s="27"/>
      <c r="B23" s="28"/>
      <c r="C23" s="28"/>
      <c r="D23" s="28"/>
      <c r="E23" s="28"/>
      <c r="F23" s="28"/>
      <c r="G23" s="28"/>
      <c r="H23" s="28"/>
    </row>
    <row r="24" customFormat="false" ht="15" hidden="false" customHeight="true" outlineLevel="0" collapsed="false">
      <c r="A24" s="27"/>
      <c r="B24" s="28"/>
      <c r="C24" s="28"/>
      <c r="D24" s="28"/>
      <c r="E24" s="28"/>
      <c r="F24" s="28"/>
      <c r="G24" s="28"/>
      <c r="H24" s="28"/>
    </row>
    <row r="25" customFormat="false" ht="15" hidden="false" customHeight="true" outlineLevel="0" collapsed="false">
      <c r="A25" s="27"/>
      <c r="B25" s="28"/>
      <c r="C25" s="28"/>
      <c r="D25" s="28"/>
      <c r="E25" s="28"/>
      <c r="F25" s="28"/>
      <c r="G25" s="28"/>
      <c r="H25" s="28"/>
    </row>
    <row r="27" customFormat="false" ht="18" hidden="false" customHeight="true" outlineLevel="0" collapsed="false">
      <c r="A27" s="4" t="s">
        <v>235</v>
      </c>
      <c r="B27" s="4"/>
      <c r="C27" s="4"/>
      <c r="D27" s="4"/>
      <c r="E27" s="4"/>
      <c r="F27" s="4"/>
      <c r="G27" s="4"/>
      <c r="H27" s="4"/>
      <c r="I27" s="4"/>
    </row>
    <row r="28" customFormat="false" ht="15" hidden="false" customHeight="true" outlineLevel="0" collapsed="false">
      <c r="A28" s="27" t="s">
        <v>133</v>
      </c>
      <c r="B28" s="39" t="n">
        <f aca="false">SUM(B5:B25)</f>
        <v>264</v>
      </c>
      <c r="C28" s="27" t="s">
        <v>135</v>
      </c>
    </row>
    <row r="29" customFormat="false" ht="15" hidden="false" customHeight="true" outlineLevel="0" collapsed="false">
      <c r="A29" s="27" t="s">
        <v>236</v>
      </c>
      <c r="B29" s="38" t="n">
        <f aca="false">SUMPRODUCT(B5:B25,C5:C25)/SUM(B5:B25)</f>
        <v>841.856060606061</v>
      </c>
      <c r="C29" s="27" t="s">
        <v>141</v>
      </c>
    </row>
    <row r="30" customFormat="false" ht="15" hidden="false" customHeight="true" outlineLevel="0" collapsed="false">
      <c r="A30" s="27" t="s">
        <v>237</v>
      </c>
      <c r="B30" s="38" t="n">
        <f aca="false">SUMPRODUCT(B5:B25,D5:D25)/SUM(B5:B25)</f>
        <v>-0.757575757575758</v>
      </c>
      <c r="C30" s="27" t="s">
        <v>141</v>
      </c>
    </row>
    <row r="31" customFormat="false" ht="15" hidden="false" customHeight="true" outlineLevel="0" collapsed="false">
      <c r="A31" s="27" t="s">
        <v>238</v>
      </c>
      <c r="B31" s="38" t="n">
        <f aca="false">SUMPRODUCT(B5:B25,E5:E25)/SUM(B5:B25)</f>
        <v>263.409090909091</v>
      </c>
      <c r="C31" s="27" t="s">
        <v>141</v>
      </c>
    </row>
    <row r="32" customFormat="false" ht="15" hidden="false" customHeight="true" outlineLevel="0" collapsed="false">
      <c r="A32" s="27" t="s">
        <v>239</v>
      </c>
      <c r="B32" s="39" t="n">
        <f aca="false">SUMPRODUCT(B5:B25,((C5:C25-B29)/1000)^2+((D5:D25-B30)/1000)^2)</f>
        <v>53.3844390151515</v>
      </c>
      <c r="C32" s="27" t="s">
        <v>145</v>
      </c>
    </row>
    <row r="33" customFormat="false" ht="15" hidden="false" customHeight="true" outlineLevel="0" collapsed="false">
      <c r="A33" s="27" t="s">
        <v>137</v>
      </c>
      <c r="B33" s="40" t="n">
        <f aca="false">1-(B29/Master!C15)</f>
        <v>0.456867057673509</v>
      </c>
      <c r="C33" s="27" t="s">
        <v>138</v>
      </c>
    </row>
  </sheetData>
  <mergeCells count="3">
    <mergeCell ref="A1:I1"/>
    <mergeCell ref="A2:I2"/>
    <mergeCell ref="A27:I27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0"/>
    <col collapsed="false" customWidth="true" hidden="false" outlineLevel="0" max="3" min="3" style="1" width="12"/>
    <col collapsed="false" customWidth="true" hidden="false" outlineLevel="0" max="4" min="4" style="1" width="10"/>
    <col collapsed="false" customWidth="true" hidden="false" outlineLevel="0" max="5" min="5" style="1" width="20"/>
    <col collapsed="false" customWidth="true" hidden="false" outlineLevel="0" max="6" min="6" style="1" width="34"/>
  </cols>
  <sheetData>
    <row r="1" customFormat="false" ht="25.5" hidden="false" customHeight="true" outlineLevel="0" collapsed="false">
      <c r="A1" s="2" t="s">
        <v>240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true" outlineLevel="0" collapsed="false">
      <c r="A2" s="3" t="s">
        <v>241</v>
      </c>
      <c r="B2" s="3"/>
      <c r="C2" s="3"/>
      <c r="D2" s="3"/>
      <c r="E2" s="3"/>
      <c r="F2" s="3"/>
      <c r="G2" s="3"/>
      <c r="H2" s="3"/>
      <c r="I2" s="3"/>
    </row>
    <row r="4" customFormat="false" ht="27.75" hidden="false" customHeight="true" outlineLevel="0" collapsed="false">
      <c r="A4" s="26" t="s">
        <v>115</v>
      </c>
      <c r="B4" s="26" t="s">
        <v>116</v>
      </c>
      <c r="C4" s="26" t="s">
        <v>117</v>
      </c>
      <c r="D4" s="26" t="s">
        <v>118</v>
      </c>
      <c r="E4" s="26" t="s">
        <v>242</v>
      </c>
      <c r="F4" s="26" t="s">
        <v>123</v>
      </c>
    </row>
    <row r="5" customFormat="false" ht="15" hidden="false" customHeight="true" outlineLevel="0" collapsed="false">
      <c r="A5" s="27" t="s">
        <v>243</v>
      </c>
      <c r="B5" s="27" t="s">
        <v>126</v>
      </c>
      <c r="C5" s="41" t="s">
        <v>244</v>
      </c>
      <c r="D5" s="27" t="s">
        <v>126</v>
      </c>
      <c r="E5" s="28" t="s">
        <v>245</v>
      </c>
      <c r="F5" s="28"/>
    </row>
    <row r="6" customFormat="false" ht="15" hidden="false" customHeight="true" outlineLevel="0" collapsed="false">
      <c r="A6" s="27" t="s">
        <v>246</v>
      </c>
      <c r="B6" s="27" t="s">
        <v>126</v>
      </c>
      <c r="C6" s="41" t="s">
        <v>126</v>
      </c>
      <c r="D6" s="27" t="s">
        <v>126</v>
      </c>
      <c r="E6" s="28" t="s">
        <v>245</v>
      </c>
      <c r="F6" s="28"/>
    </row>
    <row r="7" customFormat="false" ht="15" hidden="false" customHeight="true" outlineLevel="0" collapsed="false">
      <c r="A7" s="27" t="s">
        <v>247</v>
      </c>
      <c r="B7" s="27" t="s">
        <v>161</v>
      </c>
      <c r="C7" s="36" t="n">
        <v>1.5</v>
      </c>
      <c r="D7" s="27" t="s">
        <v>126</v>
      </c>
      <c r="E7" s="28" t="s">
        <v>248</v>
      </c>
      <c r="F7" s="28"/>
    </row>
    <row r="8" customFormat="false" ht="15" hidden="false" customHeight="true" outlineLevel="0" collapsed="false">
      <c r="A8" s="27" t="s">
        <v>249</v>
      </c>
      <c r="B8" s="27" t="s">
        <v>163</v>
      </c>
      <c r="C8" s="34" t="n">
        <v>1100</v>
      </c>
      <c r="D8" s="27" t="s">
        <v>164</v>
      </c>
      <c r="E8" s="28" t="s">
        <v>248</v>
      </c>
      <c r="F8" s="28"/>
    </row>
    <row r="9" customFormat="false" ht="15" hidden="false" customHeight="true" outlineLevel="0" collapsed="false">
      <c r="A9" s="27" t="s">
        <v>165</v>
      </c>
      <c r="B9" s="27" t="s">
        <v>166</v>
      </c>
      <c r="C9" s="33" t="n">
        <v>7</v>
      </c>
      <c r="D9" s="27" t="s">
        <v>167</v>
      </c>
      <c r="E9" s="28" t="s">
        <v>248</v>
      </c>
      <c r="F9" s="28"/>
    </row>
    <row r="10" customFormat="false" ht="15" hidden="false" customHeight="true" outlineLevel="0" collapsed="false">
      <c r="A10" s="27" t="s">
        <v>250</v>
      </c>
      <c r="B10" s="27" t="s">
        <v>251</v>
      </c>
      <c r="C10" s="36" t="n">
        <v>0.15</v>
      </c>
      <c r="D10" s="27" t="s">
        <v>252</v>
      </c>
      <c r="E10" s="28" t="s">
        <v>248</v>
      </c>
      <c r="F10" s="28"/>
    </row>
    <row r="11" customFormat="false" ht="15" hidden="false" customHeight="true" outlineLevel="0" collapsed="false">
      <c r="A11" s="27" t="s">
        <v>253</v>
      </c>
      <c r="B11" s="27" t="s">
        <v>254</v>
      </c>
      <c r="C11" s="34" t="n">
        <v>83</v>
      </c>
      <c r="D11" s="27" t="s">
        <v>255</v>
      </c>
      <c r="E11" s="28" t="s">
        <v>248</v>
      </c>
      <c r="F11" s="28"/>
    </row>
    <row r="12" customFormat="false" ht="15" hidden="false" customHeight="true" outlineLevel="0" collapsed="false">
      <c r="A12" s="27" t="s">
        <v>256</v>
      </c>
      <c r="B12" s="27" t="s">
        <v>257</v>
      </c>
      <c r="C12" s="33" t="n">
        <v>-2</v>
      </c>
      <c r="D12" s="27" t="s">
        <v>167</v>
      </c>
      <c r="E12" s="28" t="s">
        <v>258</v>
      </c>
      <c r="F12" s="28"/>
    </row>
    <row r="13" customFormat="false" ht="15" hidden="false" customHeight="true" outlineLevel="0" collapsed="false">
      <c r="A13" s="27" t="s">
        <v>259</v>
      </c>
      <c r="B13" s="27" t="s">
        <v>260</v>
      </c>
      <c r="C13" s="33" t="n">
        <v>-1.5</v>
      </c>
      <c r="D13" s="27" t="s">
        <v>167</v>
      </c>
      <c r="E13" s="28" t="s">
        <v>258</v>
      </c>
      <c r="F13" s="28"/>
    </row>
    <row r="14" customFormat="false" ht="15" hidden="false" customHeight="true" outlineLevel="0" collapsed="false">
      <c r="A14" s="27" t="s">
        <v>261</v>
      </c>
      <c r="B14" s="27" t="s">
        <v>262</v>
      </c>
      <c r="C14" s="36" t="n">
        <v>0.65</v>
      </c>
      <c r="D14" s="27" t="s">
        <v>126</v>
      </c>
      <c r="E14" s="28" t="s">
        <v>263</v>
      </c>
      <c r="F14" s="28"/>
    </row>
    <row r="15" customFormat="false" ht="15" hidden="false" customHeight="true" outlineLevel="0" collapsed="false">
      <c r="A15" s="27" t="s">
        <v>168</v>
      </c>
      <c r="B15" s="27" t="s">
        <v>169</v>
      </c>
      <c r="C15" s="34" t="n">
        <v>228</v>
      </c>
      <c r="D15" s="27" t="s">
        <v>141</v>
      </c>
      <c r="E15" s="28" t="s">
        <v>264</v>
      </c>
      <c r="F15" s="28"/>
    </row>
  </sheetData>
  <mergeCells count="2">
    <mergeCell ref="A1:I1"/>
    <mergeCell ref="A2:I2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8"/>
    <col collapsed="false" customWidth="true" hidden="false" outlineLevel="0" max="3" min="3" style="1" width="14"/>
    <col collapsed="false" customWidth="true" hidden="false" outlineLevel="0" max="4" min="4" style="1" width="8"/>
    <col collapsed="false" customWidth="true" hidden="false" outlineLevel="0" max="5" min="5" style="1" width="40"/>
    <col collapsed="false" customWidth="true" hidden="false" outlineLevel="0" max="7" min="6" style="1" width="4"/>
  </cols>
  <sheetData>
    <row r="1" customFormat="false" ht="25.5" hidden="false" customHeight="true" outlineLevel="0" collapsed="false">
      <c r="A1" s="2" t="s">
        <v>265</v>
      </c>
      <c r="B1" s="2"/>
      <c r="C1" s="2"/>
      <c r="D1" s="2"/>
      <c r="E1" s="2"/>
      <c r="F1" s="2"/>
      <c r="G1" s="2"/>
    </row>
    <row r="2" customFormat="false" ht="15" hidden="false" customHeight="true" outlineLevel="0" collapsed="false">
      <c r="A2" s="3" t="s">
        <v>266</v>
      </c>
      <c r="B2" s="3"/>
      <c r="C2" s="3"/>
      <c r="D2" s="3"/>
      <c r="E2" s="3"/>
      <c r="F2" s="3"/>
      <c r="G2" s="3"/>
    </row>
    <row r="4" customFormat="false" ht="27.75" hidden="false" customHeight="true" outlineLevel="0" collapsed="false">
      <c r="A4" s="26" t="s">
        <v>267</v>
      </c>
      <c r="B4" s="26" t="s">
        <v>116</v>
      </c>
      <c r="C4" s="26" t="s">
        <v>117</v>
      </c>
      <c r="D4" s="26" t="s">
        <v>118</v>
      </c>
      <c r="E4" s="26" t="s">
        <v>268</v>
      </c>
      <c r="F4" s="26"/>
      <c r="G4" s="26"/>
    </row>
    <row r="5" customFormat="false" ht="15" hidden="false" customHeight="true" outlineLevel="0" collapsed="false">
      <c r="A5" s="27" t="s">
        <v>269</v>
      </c>
      <c r="B5" s="27" t="s">
        <v>270</v>
      </c>
      <c r="C5" s="38" t="n">
        <f aca="false">Master!C9*Master!C25*9.81*Master!C11/Master!C36</f>
        <v>859.900084033614</v>
      </c>
      <c r="D5" s="27" t="s">
        <v>193</v>
      </c>
      <c r="E5" s="42" t="s">
        <v>271</v>
      </c>
      <c r="F5" s="42"/>
      <c r="G5" s="42"/>
    </row>
    <row r="6" customFormat="false" ht="15" hidden="false" customHeight="true" outlineLevel="0" collapsed="false">
      <c r="A6" s="27" t="s">
        <v>272</v>
      </c>
      <c r="B6" s="27" t="s">
        <v>273</v>
      </c>
      <c r="C6" s="38" t="n">
        <f aca="false">Master!C30*C5</f>
        <v>447.148043697479</v>
      </c>
      <c r="D6" s="27" t="s">
        <v>193</v>
      </c>
      <c r="E6" s="42" t="s">
        <v>274</v>
      </c>
      <c r="F6" s="42"/>
      <c r="G6" s="42"/>
    </row>
    <row r="7" customFormat="false" ht="15" hidden="false" customHeight="true" outlineLevel="0" collapsed="false">
      <c r="A7" s="27" t="s">
        <v>275</v>
      </c>
      <c r="B7" s="27" t="s">
        <v>276</v>
      </c>
      <c r="C7" s="38" t="n">
        <f aca="false">(1-Master!C30)*C5</f>
        <v>412.752040336135</v>
      </c>
      <c r="D7" s="27" t="s">
        <v>193</v>
      </c>
      <c r="E7" s="42" t="s">
        <v>277</v>
      </c>
      <c r="F7" s="42"/>
      <c r="G7" s="42"/>
    </row>
    <row r="8" customFormat="false" ht="15" hidden="false" customHeight="true" outlineLevel="0" collapsed="false">
      <c r="A8" s="27" t="s">
        <v>278</v>
      </c>
      <c r="B8" s="27" t="s">
        <v>279</v>
      </c>
      <c r="C8" s="38" t="n">
        <f aca="false">Master!C9*Master!C26*9.81*Master!C11/Master!C15</f>
        <v>660.18135483871</v>
      </c>
      <c r="D8" s="27" t="s">
        <v>193</v>
      </c>
      <c r="E8" s="42" t="s">
        <v>280</v>
      </c>
      <c r="F8" s="42"/>
      <c r="G8" s="42"/>
    </row>
    <row r="9" customFormat="false" ht="18" hidden="false" customHeight="true" outlineLevel="0" collapsed="false">
      <c r="A9" s="4" t="s">
        <v>281</v>
      </c>
      <c r="B9" s="4"/>
      <c r="C9" s="4"/>
      <c r="D9" s="4"/>
      <c r="E9" s="4"/>
      <c r="F9" s="4"/>
      <c r="G9" s="4"/>
      <c r="H9" s="4"/>
      <c r="I9" s="4"/>
    </row>
    <row r="10" customFormat="false" ht="27.75" hidden="false" customHeight="true" outlineLevel="0" collapsed="false">
      <c r="A10" s="26" t="s">
        <v>282</v>
      </c>
      <c r="B10" s="26"/>
      <c r="C10" s="26" t="s">
        <v>283</v>
      </c>
      <c r="D10" s="26"/>
      <c r="E10" s="26" t="s">
        <v>284</v>
      </c>
      <c r="F10" s="26"/>
      <c r="G10" s="26"/>
    </row>
    <row r="11" customFormat="false" ht="15" hidden="false" customHeight="true" outlineLevel="0" collapsed="false">
      <c r="A11" s="27" t="s">
        <v>285</v>
      </c>
      <c r="C11" s="38" t="n">
        <f aca="false">Master!C34/2+C6</f>
        <v>1038.75433402006</v>
      </c>
      <c r="E11" s="42" t="s">
        <v>286</v>
      </c>
      <c r="F11" s="42"/>
      <c r="G11" s="42"/>
    </row>
    <row r="12" customFormat="false" ht="15" hidden="false" customHeight="true" outlineLevel="0" collapsed="false">
      <c r="A12" s="27" t="s">
        <v>287</v>
      </c>
      <c r="C12" s="38" t="n">
        <f aca="false">Master!C34/2-C6</f>
        <v>144.458246625102</v>
      </c>
      <c r="E12" s="42" t="s">
        <v>288</v>
      </c>
      <c r="F12" s="42"/>
      <c r="G12" s="42"/>
    </row>
    <row r="13" customFormat="false" ht="15" hidden="false" customHeight="true" outlineLevel="0" collapsed="false">
      <c r="A13" s="27" t="s">
        <v>289</v>
      </c>
      <c r="C13" s="38" t="n">
        <f aca="false">Master!C35/2+C7</f>
        <v>1116.06575001355</v>
      </c>
      <c r="E13" s="42" t="s">
        <v>290</v>
      </c>
      <c r="F13" s="42"/>
      <c r="G13" s="42"/>
    </row>
    <row r="14" customFormat="false" ht="15" hidden="false" customHeight="true" outlineLevel="0" collapsed="false">
      <c r="A14" s="27" t="s">
        <v>291</v>
      </c>
      <c r="C14" s="38" t="n">
        <f aca="false">Master!C35/2-C7</f>
        <v>290.561669341285</v>
      </c>
      <c r="E14" s="42" t="s">
        <v>292</v>
      </c>
      <c r="F14" s="42"/>
      <c r="G14" s="42"/>
    </row>
    <row r="15" customFormat="false" ht="15" hidden="false" customHeight="true" outlineLevel="0" collapsed="false">
      <c r="A15" s="27" t="s">
        <v>293</v>
      </c>
      <c r="C15" s="38" t="n">
        <f aca="false">Master!C34+C8</f>
        <v>1843.39393548387</v>
      </c>
      <c r="E15" s="42" t="s">
        <v>294</v>
      </c>
      <c r="F15" s="42"/>
      <c r="G15" s="42"/>
    </row>
    <row r="16" customFormat="false" ht="15" hidden="false" customHeight="true" outlineLevel="0" collapsed="false">
      <c r="A16" s="27" t="s">
        <v>295</v>
      </c>
      <c r="C16" s="38" t="n">
        <f aca="false">Master!C35-C8</f>
        <v>746.446064516129</v>
      </c>
      <c r="E16" s="42" t="s">
        <v>296</v>
      </c>
      <c r="F16" s="42"/>
      <c r="G16" s="42"/>
    </row>
  </sheetData>
  <mergeCells count="13">
    <mergeCell ref="A1:G1"/>
    <mergeCell ref="A2:G2"/>
    <mergeCell ref="E5:G5"/>
    <mergeCell ref="E6:G6"/>
    <mergeCell ref="E7:G7"/>
    <mergeCell ref="E8:G8"/>
    <mergeCell ref="A9:I9"/>
    <mergeCell ref="E11:G11"/>
    <mergeCell ref="E12:G12"/>
    <mergeCell ref="E13:G13"/>
    <mergeCell ref="E14:G14"/>
    <mergeCell ref="E15:G15"/>
    <mergeCell ref="E16:G16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3" min="2" style="1" width="14"/>
    <col collapsed="false" customWidth="true" hidden="false" outlineLevel="0" max="4" min="4" style="1" width="10"/>
    <col collapsed="false" customWidth="true" hidden="false" outlineLevel="0" max="5" min="5" style="1" width="44"/>
  </cols>
  <sheetData>
    <row r="1" customFormat="false" ht="25.5" hidden="false" customHeight="true" outlineLevel="0" collapsed="false">
      <c r="A1" s="2" t="s">
        <v>297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3" t="s">
        <v>298</v>
      </c>
      <c r="B2" s="3"/>
      <c r="C2" s="3"/>
      <c r="D2" s="3"/>
      <c r="E2" s="3"/>
      <c r="F2" s="3"/>
    </row>
    <row r="4" customFormat="false" ht="27.75" hidden="false" customHeight="true" outlineLevel="0" collapsed="false">
      <c r="A4" s="26" t="s">
        <v>267</v>
      </c>
      <c r="B4" s="26" t="s">
        <v>299</v>
      </c>
      <c r="C4" s="26" t="s">
        <v>300</v>
      </c>
      <c r="D4" s="26" t="s">
        <v>118</v>
      </c>
      <c r="E4" s="26" t="s">
        <v>301</v>
      </c>
      <c r="F4" s="26"/>
    </row>
    <row r="5" customFormat="false" ht="15" hidden="false" customHeight="true" outlineLevel="0" collapsed="false">
      <c r="A5" s="27" t="s">
        <v>302</v>
      </c>
      <c r="B5" s="39" t="n">
        <f aca="false">Master!C9*Master!C10/2-Master!C13</f>
        <v>48.3064516129032</v>
      </c>
      <c r="C5" s="39" t="n">
        <f aca="false">Master!C9*(1-Master!C10)/2-Master!C13</f>
        <v>59.6935483870968</v>
      </c>
      <c r="D5" s="27" t="s">
        <v>135</v>
      </c>
      <c r="E5" s="42" t="s">
        <v>303</v>
      </c>
      <c r="F5" s="42"/>
    </row>
    <row r="6" customFormat="false" ht="15" hidden="false" customHeight="true" outlineLevel="0" collapsed="false">
      <c r="A6" s="27" t="s">
        <v>304</v>
      </c>
      <c r="B6" s="39" t="n">
        <f aca="false">(2*PI()*Master!C28)^2*B5/1000</f>
        <v>14.9513681949096</v>
      </c>
      <c r="C6" s="39" t="n">
        <f aca="false">(2*PI()*Master!C29)^2*C5/1000</f>
        <v>21.2094614836055</v>
      </c>
      <c r="D6" s="27" t="s">
        <v>305</v>
      </c>
      <c r="E6" s="42" t="s">
        <v>306</v>
      </c>
      <c r="F6" s="42"/>
    </row>
    <row r="7" customFormat="false" ht="15" hidden="false" customHeight="true" outlineLevel="0" collapsed="false">
      <c r="A7" s="27" t="s">
        <v>307</v>
      </c>
      <c r="B7" s="39" t="n">
        <f aca="false">B6/Master!C31^2</f>
        <v>30.5129963161421</v>
      </c>
      <c r="C7" s="39" t="n">
        <f aca="false">C6/Master!C31^2</f>
        <v>43.2846152726643</v>
      </c>
      <c r="D7" s="27" t="s">
        <v>305</v>
      </c>
      <c r="E7" s="42" t="s">
        <v>308</v>
      </c>
      <c r="F7" s="42"/>
    </row>
    <row r="9" customFormat="false" ht="18" hidden="false" customHeight="true" outlineLevel="0" collapsed="false">
      <c r="A9" s="4" t="s">
        <v>309</v>
      </c>
      <c r="B9" s="4"/>
      <c r="C9" s="4"/>
      <c r="D9" s="4"/>
      <c r="E9" s="4"/>
      <c r="F9" s="4"/>
      <c r="G9" s="4"/>
      <c r="H9" s="4"/>
      <c r="I9" s="4"/>
    </row>
    <row r="10" customFormat="false" ht="15" hidden="false" customHeight="true" outlineLevel="0" collapsed="false">
      <c r="A10" s="27" t="s">
        <v>310</v>
      </c>
      <c r="B10" s="38" t="n">
        <f aca="false">Master!C9*0.88*9.81</f>
        <v>2279.0592</v>
      </c>
      <c r="D10" s="27" t="s">
        <v>193</v>
      </c>
    </row>
    <row r="11" customFormat="false" ht="15" hidden="false" customHeight="true" outlineLevel="0" collapsed="false">
      <c r="A11" s="27" t="s">
        <v>311</v>
      </c>
      <c r="B11" s="34" t="n">
        <v>250</v>
      </c>
      <c r="D11" s="27" t="s">
        <v>141</v>
      </c>
    </row>
    <row r="12" customFormat="false" ht="15" hidden="false" customHeight="true" outlineLevel="0" collapsed="false">
      <c r="A12" s="27" t="s">
        <v>312</v>
      </c>
      <c r="B12" s="38" t="n">
        <f aca="false">B10*(B11/1000)/Master!C27*57.3/57.3</f>
        <v>379.8432</v>
      </c>
      <c r="D12" s="27" t="s">
        <v>313</v>
      </c>
    </row>
  </sheetData>
  <mergeCells count="6">
    <mergeCell ref="A1:F1"/>
    <mergeCell ref="A2:F2"/>
    <mergeCell ref="E5:F5"/>
    <mergeCell ref="E6:F6"/>
    <mergeCell ref="E7:F7"/>
    <mergeCell ref="A9:I9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3" min="2" style="1" width="15"/>
    <col collapsed="false" customWidth="true" hidden="false" outlineLevel="0" max="4" min="4" style="1" width="16"/>
    <col collapsed="false" customWidth="true" hidden="false" outlineLevel="0" max="5" min="5" style="1" width="8"/>
    <col collapsed="false" customWidth="true" hidden="false" outlineLevel="0" max="6" min="6" style="1" width="15"/>
  </cols>
  <sheetData>
    <row r="1" customFormat="false" ht="25.5" hidden="false" customHeight="true" outlineLevel="0" collapsed="false">
      <c r="A1" s="2" t="s">
        <v>314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3" t="s">
        <v>315</v>
      </c>
      <c r="B2" s="3"/>
      <c r="C2" s="3"/>
      <c r="D2" s="3"/>
      <c r="E2" s="3"/>
      <c r="F2" s="3"/>
    </row>
    <row r="4" customFormat="false" ht="27.75" hidden="false" customHeight="true" outlineLevel="0" collapsed="false">
      <c r="A4" s="26" t="s">
        <v>316</v>
      </c>
      <c r="B4" s="26" t="s">
        <v>317</v>
      </c>
      <c r="C4" s="26" t="s">
        <v>318</v>
      </c>
      <c r="D4" s="26" t="s">
        <v>319</v>
      </c>
      <c r="E4" s="26" t="s">
        <v>320</v>
      </c>
      <c r="F4" s="26" t="s">
        <v>321</v>
      </c>
    </row>
    <row r="5" customFormat="false" ht="15" hidden="false" customHeight="true" outlineLevel="0" collapsed="false">
      <c r="A5" s="27" t="s">
        <v>322</v>
      </c>
      <c r="B5" s="38" t="n">
        <f aca="false">LoadTransfer!C11</f>
        <v>1038.75433402006</v>
      </c>
      <c r="C5" s="38" t="n">
        <f aca="false">Master!C20*LoadTransfer!C11</f>
        <v>1558.13150103009</v>
      </c>
      <c r="D5" s="38" t="s">
        <v>323</v>
      </c>
      <c r="E5" s="33" t="n">
        <v>1.4</v>
      </c>
      <c r="F5" s="38" t="n">
        <f aca="false">B5*E5</f>
        <v>1454.25606762808</v>
      </c>
    </row>
    <row r="6" customFormat="false" ht="15" hidden="false" customHeight="true" outlineLevel="0" collapsed="false">
      <c r="A6" s="27" t="s">
        <v>324</v>
      </c>
      <c r="B6" s="38" t="n">
        <f aca="false">LoadTransfer!C13</f>
        <v>1116.06575001355</v>
      </c>
      <c r="C6" s="38" t="n">
        <f aca="false">Master!C20*LoadTransfer!C13</f>
        <v>1674.09862502033</v>
      </c>
      <c r="D6" s="38" t="s">
        <v>323</v>
      </c>
      <c r="E6" s="33" t="n">
        <v>1.4</v>
      </c>
      <c r="F6" s="38" t="n">
        <f aca="false">B6*E6</f>
        <v>1562.49205001898</v>
      </c>
    </row>
    <row r="7" customFormat="false" ht="15" hidden="false" customHeight="true" outlineLevel="0" collapsed="false">
      <c r="A7" s="27" t="s">
        <v>325</v>
      </c>
      <c r="B7" s="38" t="n">
        <f aca="false">LoadTransfer!C15</f>
        <v>1843.39393548387</v>
      </c>
      <c r="C7" s="38" t="s">
        <v>323</v>
      </c>
      <c r="D7" s="38" t="n">
        <f aca="false">Master!C20*LoadTransfer!C15</f>
        <v>2765.09090322581</v>
      </c>
      <c r="E7" s="33" t="n">
        <v>1.4</v>
      </c>
      <c r="F7" s="38" t="n">
        <f aca="false">B7*E7</f>
        <v>2580.75150967742</v>
      </c>
    </row>
    <row r="8" customFormat="false" ht="15" hidden="false" customHeight="true" outlineLevel="0" collapsed="false">
      <c r="A8" s="27" t="s">
        <v>326</v>
      </c>
      <c r="B8" s="38" t="n">
        <f aca="false">LoadTransfer!C11</f>
        <v>1038.75433402006</v>
      </c>
      <c r="C8" s="38" t="n">
        <f aca="false">0.7*Master!C20*LoadTransfer!C11</f>
        <v>1090.69205072106</v>
      </c>
      <c r="D8" s="38" t="n">
        <f aca="false">0.7*Master!C20*LoadTransfer!C11</f>
        <v>1090.69205072106</v>
      </c>
      <c r="E8" s="33" t="n">
        <v>1.5</v>
      </c>
      <c r="F8" s="38" t="n">
        <f aca="false">B8*E8</f>
        <v>1558.13150103009</v>
      </c>
    </row>
    <row r="9" customFormat="false" ht="15" hidden="false" customHeight="true" outlineLevel="0" collapsed="false">
      <c r="A9" s="27" t="s">
        <v>327</v>
      </c>
      <c r="B9" s="38" t="n">
        <f aca="false">3*Master!C34/2</f>
        <v>1774.81887096774</v>
      </c>
      <c r="C9" s="38" t="s">
        <v>323</v>
      </c>
      <c r="D9" s="38" t="s">
        <v>323</v>
      </c>
      <c r="E9" s="33" t="n">
        <v>2.5</v>
      </c>
      <c r="F9" s="38" t="n">
        <f aca="false">B9*E9</f>
        <v>4437.04717741936</v>
      </c>
    </row>
    <row r="11" customFormat="false" ht="26.25" hidden="false" customHeight="true" outlineLevel="0" collapsed="false">
      <c r="A11" s="29" t="s">
        <v>328</v>
      </c>
      <c r="B11" s="29"/>
      <c r="C11" s="29"/>
      <c r="D11" s="29"/>
      <c r="E11" s="29"/>
      <c r="F11" s="29"/>
    </row>
  </sheetData>
  <mergeCells count="3">
    <mergeCell ref="A1:F1"/>
    <mergeCell ref="A2:F2"/>
    <mergeCell ref="A11:F11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6"/>
    <col collapsed="false" customWidth="true" hidden="false" outlineLevel="0" max="3" min="3" style="1" width="10"/>
    <col collapsed="false" customWidth="true" hidden="false" outlineLevel="0" max="4" min="4" style="1" width="22"/>
    <col collapsed="false" customWidth="true" hidden="false" outlineLevel="0" max="5" min="5" style="1" width="6"/>
  </cols>
  <sheetData>
    <row r="1" customFormat="false" ht="25.5" hidden="false" customHeight="true" outlineLevel="0" collapsed="false">
      <c r="A1" s="2" t="s">
        <v>329</v>
      </c>
      <c r="B1" s="2"/>
      <c r="C1" s="2"/>
      <c r="D1" s="2"/>
      <c r="E1" s="2"/>
    </row>
    <row r="2" customFormat="false" ht="15" hidden="false" customHeight="true" outlineLevel="0" collapsed="false">
      <c r="A2" s="3" t="s">
        <v>330</v>
      </c>
      <c r="B2" s="3"/>
      <c r="C2" s="3"/>
      <c r="D2" s="3"/>
      <c r="E2" s="3"/>
    </row>
    <row r="4" customFormat="false" ht="27.75" hidden="false" customHeight="true" outlineLevel="0" collapsed="false">
      <c r="A4" s="26" t="s">
        <v>115</v>
      </c>
      <c r="B4" s="26" t="s">
        <v>117</v>
      </c>
      <c r="C4" s="26" t="s">
        <v>118</v>
      </c>
      <c r="D4" s="26" t="s">
        <v>119</v>
      </c>
      <c r="E4" s="26"/>
    </row>
    <row r="5" customFormat="false" ht="15" hidden="false" customHeight="true" outlineLevel="0" collapsed="false">
      <c r="A5" s="27" t="s">
        <v>331</v>
      </c>
      <c r="B5" s="30" t="n">
        <f aca="false">Master!C9</f>
        <v>264</v>
      </c>
      <c r="C5" s="27" t="s">
        <v>135</v>
      </c>
      <c r="D5" s="43" t="s">
        <v>20</v>
      </c>
      <c r="E5" s="43"/>
    </row>
    <row r="6" customFormat="false" ht="15" hidden="false" customHeight="true" outlineLevel="0" collapsed="false">
      <c r="A6" s="27" t="s">
        <v>137</v>
      </c>
      <c r="B6" s="31" t="n">
        <f aca="false">Master!C10</f>
        <v>0.456867057673509</v>
      </c>
      <c r="C6" s="27" t="s">
        <v>138</v>
      </c>
      <c r="D6" s="43" t="s">
        <v>20</v>
      </c>
      <c r="E6" s="43"/>
    </row>
    <row r="7" customFormat="false" ht="15" hidden="false" customHeight="true" outlineLevel="0" collapsed="false">
      <c r="A7" s="27" t="s">
        <v>139</v>
      </c>
      <c r="B7" s="32" t="n">
        <f aca="false">Master!C11</f>
        <v>263.409090909091</v>
      </c>
      <c r="C7" s="27" t="s">
        <v>141</v>
      </c>
      <c r="D7" s="43" t="s">
        <v>20</v>
      </c>
      <c r="E7" s="43"/>
    </row>
    <row r="8" customFormat="false" ht="15" hidden="false" customHeight="true" outlineLevel="0" collapsed="false">
      <c r="A8" s="27" t="s">
        <v>150</v>
      </c>
      <c r="B8" s="32" t="n">
        <f aca="false">Master!C15</f>
        <v>1550</v>
      </c>
      <c r="C8" s="27" t="s">
        <v>141</v>
      </c>
      <c r="D8" s="43" t="s">
        <v>20</v>
      </c>
      <c r="E8" s="43"/>
    </row>
    <row r="9" customFormat="false" ht="15" hidden="false" customHeight="true" outlineLevel="0" collapsed="false">
      <c r="A9" s="27" t="s">
        <v>332</v>
      </c>
      <c r="B9" s="32" t="n">
        <f aca="false">Master!C16</f>
        <v>1200</v>
      </c>
      <c r="C9" s="27" t="s">
        <v>141</v>
      </c>
      <c r="D9" s="43" t="s">
        <v>20</v>
      </c>
      <c r="E9" s="43"/>
    </row>
    <row r="10" customFormat="false" ht="15" hidden="false" customHeight="true" outlineLevel="0" collapsed="false">
      <c r="A10" s="27" t="s">
        <v>160</v>
      </c>
      <c r="B10" s="35" t="n">
        <f aca="false">Master!C20</f>
        <v>1.5</v>
      </c>
      <c r="C10" s="27" t="s">
        <v>138</v>
      </c>
      <c r="D10" s="43" t="s">
        <v>24</v>
      </c>
      <c r="E10" s="43"/>
    </row>
    <row r="11" customFormat="false" ht="15" hidden="false" customHeight="true" outlineLevel="0" collapsed="false">
      <c r="A11" s="27" t="s">
        <v>162</v>
      </c>
      <c r="B11" s="32" t="n">
        <f aca="false">Master!C21</f>
        <v>1100</v>
      </c>
      <c r="C11" s="27" t="s">
        <v>164</v>
      </c>
      <c r="D11" s="43" t="s">
        <v>24</v>
      </c>
      <c r="E11" s="43"/>
    </row>
    <row r="12" customFormat="false" ht="15" hidden="false" customHeight="true" outlineLevel="0" collapsed="false">
      <c r="A12" s="27" t="s">
        <v>168</v>
      </c>
      <c r="B12" s="32" t="n">
        <f aca="false">Master!C23</f>
        <v>228</v>
      </c>
      <c r="C12" s="27" t="s">
        <v>141</v>
      </c>
      <c r="D12" s="43" t="s">
        <v>24</v>
      </c>
      <c r="E12" s="43"/>
    </row>
    <row r="13" customFormat="false" ht="15" hidden="false" customHeight="true" outlineLevel="0" collapsed="false">
      <c r="A13" s="27" t="s">
        <v>333</v>
      </c>
      <c r="B13" s="44" t="str">
        <f aca="false">Aero!C8</f>
        <v>kg</v>
      </c>
      <c r="C13" s="27" t="s">
        <v>334</v>
      </c>
      <c r="D13" s="43" t="s">
        <v>335</v>
      </c>
      <c r="E13" s="43"/>
    </row>
    <row r="14" customFormat="false" ht="15" hidden="false" customHeight="true" outlineLevel="0" collapsed="false">
      <c r="A14" s="27" t="s">
        <v>336</v>
      </c>
      <c r="B14" s="44" t="str">
        <f aca="false">Aero!C9</f>
        <v>g</v>
      </c>
      <c r="C14" s="27" t="s">
        <v>334</v>
      </c>
      <c r="D14" s="43" t="s">
        <v>335</v>
      </c>
      <c r="E14" s="43"/>
    </row>
    <row r="15" customFormat="false" ht="15" hidden="false" customHeight="true" outlineLevel="0" collapsed="false">
      <c r="A15" s="27" t="s">
        <v>337</v>
      </c>
      <c r="B15" s="30" t="str">
        <f aca="false">Powertrain!C8</f>
        <v>N</v>
      </c>
      <c r="C15" s="27" t="s">
        <v>338</v>
      </c>
      <c r="D15" s="43" t="s">
        <v>211</v>
      </c>
      <c r="E15" s="43"/>
    </row>
    <row r="16" customFormat="false" ht="15" hidden="false" customHeight="true" outlineLevel="0" collapsed="false">
      <c r="A16" s="27" t="s">
        <v>339</v>
      </c>
      <c r="B16" s="35" t="str">
        <f aca="false">Powertrain!C10</f>
        <v>N</v>
      </c>
      <c r="C16" s="27" t="s">
        <v>138</v>
      </c>
      <c r="D16" s="43" t="s">
        <v>211</v>
      </c>
      <c r="E16" s="43"/>
    </row>
    <row r="18" customFormat="false" ht="15" hidden="false" customHeight="true" outlineLevel="0" collapsed="false">
      <c r="A18" s="27" t="s">
        <v>340</v>
      </c>
      <c r="B18" s="39" t="n">
        <f aca="false">SQRT(Master!C25*9.81*7.625)</f>
        <v>10.5925386475575</v>
      </c>
      <c r="C18" s="27" t="s">
        <v>341</v>
      </c>
    </row>
  </sheetData>
  <mergeCells count="14">
    <mergeCell ref="A1:E1"/>
    <mergeCell ref="A2:E2"/>
    <mergeCell ref="D5:E5"/>
    <mergeCell ref="D6:E6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D16:E16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4"/>
    <col collapsed="false" customWidth="true" hidden="false" outlineLevel="0" max="3" min="3" style="1" width="10"/>
    <col collapsed="false" customWidth="true" hidden="false" outlineLevel="0" max="4" min="4" style="1" width="34"/>
    <col collapsed="false" customWidth="true" hidden="false" outlineLevel="0" max="5" min="5" style="1" width="6"/>
  </cols>
  <sheetData>
    <row r="1" customFormat="false" ht="25.5" hidden="false" customHeight="true" outlineLevel="0" collapsed="false">
      <c r="A1" s="2" t="s">
        <v>342</v>
      </c>
      <c r="B1" s="2"/>
      <c r="C1" s="2"/>
      <c r="D1" s="2"/>
      <c r="E1" s="2"/>
    </row>
    <row r="2" customFormat="false" ht="15" hidden="false" customHeight="true" outlineLevel="0" collapsed="false">
      <c r="A2" s="3" t="s">
        <v>343</v>
      </c>
      <c r="B2" s="3"/>
      <c r="C2" s="3"/>
      <c r="D2" s="3"/>
      <c r="E2" s="3"/>
    </row>
    <row r="4" customFormat="false" ht="18" hidden="false" customHeight="true" outlineLevel="0" collapsed="false">
      <c r="A4" s="4" t="s">
        <v>344</v>
      </c>
      <c r="B4" s="4"/>
      <c r="C4" s="4"/>
      <c r="D4" s="4"/>
      <c r="E4" s="4"/>
      <c r="F4" s="4"/>
      <c r="G4" s="4"/>
      <c r="H4" s="4"/>
      <c r="I4" s="4"/>
    </row>
    <row r="5" customFormat="false" ht="27.75" hidden="false" customHeight="true" outlineLevel="0" collapsed="false">
      <c r="A5" s="26" t="s">
        <v>115</v>
      </c>
      <c r="B5" s="26" t="s">
        <v>117</v>
      </c>
      <c r="C5" s="26" t="s">
        <v>118</v>
      </c>
      <c r="D5" s="26" t="s">
        <v>119</v>
      </c>
      <c r="E5" s="26"/>
    </row>
    <row r="6" customFormat="false" ht="15" hidden="false" customHeight="true" outlineLevel="0" collapsed="false">
      <c r="A6" s="27" t="s">
        <v>345</v>
      </c>
      <c r="B6" s="30" t="n">
        <f aca="false">Master!C9</f>
        <v>264</v>
      </c>
      <c r="C6" s="27" t="s">
        <v>135</v>
      </c>
      <c r="D6" s="43" t="s">
        <v>20</v>
      </c>
      <c r="E6" s="43"/>
    </row>
    <row r="7" customFormat="false" ht="15" hidden="false" customHeight="true" outlineLevel="0" collapsed="false">
      <c r="A7" s="27" t="s">
        <v>139</v>
      </c>
      <c r="B7" s="32" t="n">
        <f aca="false">Master!C11</f>
        <v>263.409090909091</v>
      </c>
      <c r="C7" s="27" t="s">
        <v>141</v>
      </c>
      <c r="D7" s="43" t="s">
        <v>20</v>
      </c>
      <c r="E7" s="43"/>
    </row>
    <row r="8" customFormat="false" ht="15" hidden="false" customHeight="true" outlineLevel="0" collapsed="false">
      <c r="A8" s="27" t="s">
        <v>150</v>
      </c>
      <c r="B8" s="32" t="n">
        <f aca="false">Master!C15</f>
        <v>1550</v>
      </c>
      <c r="C8" s="27" t="s">
        <v>141</v>
      </c>
      <c r="D8" s="43" t="s">
        <v>20</v>
      </c>
      <c r="E8" s="43"/>
    </row>
    <row r="9" customFormat="false" ht="15" hidden="false" customHeight="true" outlineLevel="0" collapsed="false">
      <c r="A9" s="27" t="s">
        <v>332</v>
      </c>
      <c r="B9" s="32" t="n">
        <f aca="false">Master!C16</f>
        <v>1200</v>
      </c>
      <c r="C9" s="27" t="s">
        <v>141</v>
      </c>
      <c r="D9" s="43" t="s">
        <v>20</v>
      </c>
      <c r="E9" s="43"/>
    </row>
    <row r="10" customFormat="false" ht="15" hidden="false" customHeight="true" outlineLevel="0" collapsed="false">
      <c r="A10" s="27" t="s">
        <v>346</v>
      </c>
      <c r="B10" s="32" t="n">
        <f aca="false">LoadCases!F5</f>
        <v>1454.25606762808</v>
      </c>
      <c r="C10" s="27" t="s">
        <v>193</v>
      </c>
      <c r="D10" s="43" t="s">
        <v>347</v>
      </c>
      <c r="E10" s="43"/>
    </row>
    <row r="11" customFormat="false" ht="15" hidden="false" customHeight="true" outlineLevel="0" collapsed="false">
      <c r="A11" s="27" t="s">
        <v>348</v>
      </c>
      <c r="B11" s="32" t="n">
        <f aca="false">LoadCases!F8</f>
        <v>1558.13150103009</v>
      </c>
      <c r="C11" s="27" t="s">
        <v>193</v>
      </c>
      <c r="D11" s="43" t="s">
        <v>347</v>
      </c>
      <c r="E11" s="43"/>
    </row>
    <row r="13" customFormat="false" ht="18" hidden="false" customHeight="true" outlineLevel="0" collapsed="false">
      <c r="A13" s="4" t="s">
        <v>349</v>
      </c>
      <c r="B13" s="4"/>
      <c r="C13" s="4"/>
      <c r="D13" s="4"/>
      <c r="E13" s="4"/>
      <c r="F13" s="4"/>
      <c r="G13" s="4"/>
      <c r="H13" s="4"/>
      <c r="I13" s="4"/>
    </row>
    <row r="14" customFormat="false" ht="27.75" hidden="false" customHeight="true" outlineLevel="0" collapsed="false">
      <c r="A14" s="26" t="s">
        <v>115</v>
      </c>
      <c r="B14" s="26" t="s">
        <v>117</v>
      </c>
      <c r="C14" s="26" t="s">
        <v>118</v>
      </c>
      <c r="D14" s="26" t="s">
        <v>123</v>
      </c>
      <c r="E14" s="26"/>
    </row>
    <row r="15" customFormat="false" ht="26.25" hidden="false" customHeight="true" outlineLevel="0" collapsed="false">
      <c r="A15" s="27" t="s">
        <v>350</v>
      </c>
      <c r="B15" s="33" t="n">
        <v>34</v>
      </c>
      <c r="C15" s="27" t="s">
        <v>135</v>
      </c>
      <c r="D15" s="42" t="s">
        <v>351</v>
      </c>
      <c r="E15" s="42"/>
    </row>
    <row r="16" customFormat="false" ht="15" hidden="false" customHeight="true" outlineLevel="0" collapsed="false">
      <c r="A16" s="27" t="s">
        <v>352</v>
      </c>
      <c r="B16" s="34" t="n">
        <v>1600</v>
      </c>
      <c r="C16" s="27" t="s">
        <v>313</v>
      </c>
      <c r="D16" s="42" t="s">
        <v>353</v>
      </c>
      <c r="E16" s="42"/>
    </row>
    <row r="17" customFormat="false" ht="15" hidden="false" customHeight="true" outlineLevel="0" collapsed="false">
      <c r="A17" s="27" t="s">
        <v>354</v>
      </c>
      <c r="B17" s="34"/>
      <c r="C17" s="27" t="s">
        <v>313</v>
      </c>
      <c r="D17" s="42" t="s">
        <v>355</v>
      </c>
      <c r="E17" s="42"/>
    </row>
    <row r="18" customFormat="false" ht="15" hidden="false" customHeight="true" outlineLevel="0" collapsed="false">
      <c r="A18" s="27" t="s">
        <v>356</v>
      </c>
      <c r="B18" s="33"/>
      <c r="C18" s="27" t="s">
        <v>183</v>
      </c>
      <c r="D18" s="42" t="s">
        <v>357</v>
      </c>
      <c r="E18" s="42"/>
    </row>
    <row r="20" customFormat="false" ht="26.25" hidden="false" customHeight="true" outlineLevel="0" collapsed="false">
      <c r="A20" s="42" t="s">
        <v>358</v>
      </c>
      <c r="B20" s="42"/>
      <c r="C20" s="42"/>
      <c r="D20" s="42"/>
      <c r="E20" s="42"/>
    </row>
  </sheetData>
  <mergeCells count="15">
    <mergeCell ref="A1:E1"/>
    <mergeCell ref="A2:E2"/>
    <mergeCell ref="A4:I4"/>
    <mergeCell ref="D6:E6"/>
    <mergeCell ref="D7:E7"/>
    <mergeCell ref="D8:E8"/>
    <mergeCell ref="D9:E9"/>
    <mergeCell ref="D10:E10"/>
    <mergeCell ref="D11:E11"/>
    <mergeCell ref="A13:I13"/>
    <mergeCell ref="D15:E15"/>
    <mergeCell ref="D16:E16"/>
    <mergeCell ref="D17:E17"/>
    <mergeCell ref="D18:E18"/>
    <mergeCell ref="A20:E20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4"/>
    <col collapsed="false" customWidth="true" hidden="false" outlineLevel="0" max="3" min="3" style="1" width="10"/>
    <col collapsed="false" customWidth="true" hidden="false" outlineLevel="0" max="4" min="4" style="1" width="34"/>
    <col collapsed="false" customWidth="true" hidden="false" outlineLevel="0" max="5" min="5" style="1" width="6"/>
  </cols>
  <sheetData>
    <row r="1" customFormat="false" ht="25.5" hidden="false" customHeight="true" outlineLevel="0" collapsed="false">
      <c r="A1" s="2" t="s">
        <v>359</v>
      </c>
      <c r="B1" s="2"/>
      <c r="C1" s="2"/>
      <c r="D1" s="2"/>
      <c r="E1" s="2"/>
    </row>
    <row r="2" customFormat="false" ht="15" hidden="false" customHeight="true" outlineLevel="0" collapsed="false">
      <c r="A2" s="3" t="s">
        <v>360</v>
      </c>
      <c r="B2" s="3"/>
      <c r="C2" s="3"/>
      <c r="D2" s="3"/>
      <c r="E2" s="3"/>
    </row>
    <row r="4" customFormat="false" ht="18" hidden="false" customHeight="true" outlineLevel="0" collapsed="false">
      <c r="A4" s="4" t="s">
        <v>344</v>
      </c>
      <c r="B4" s="4"/>
      <c r="C4" s="4"/>
      <c r="D4" s="4"/>
      <c r="E4" s="4"/>
      <c r="F4" s="4"/>
      <c r="G4" s="4"/>
      <c r="H4" s="4"/>
      <c r="I4" s="4"/>
    </row>
    <row r="5" customFormat="false" ht="27.75" hidden="false" customHeight="true" outlineLevel="0" collapsed="false">
      <c r="A5" s="26" t="s">
        <v>115</v>
      </c>
      <c r="B5" s="26" t="s">
        <v>117</v>
      </c>
      <c r="C5" s="26" t="s">
        <v>118</v>
      </c>
      <c r="D5" s="26" t="s">
        <v>119</v>
      </c>
      <c r="E5" s="26"/>
    </row>
    <row r="6" customFormat="false" ht="15" hidden="false" customHeight="true" outlineLevel="0" collapsed="false">
      <c r="A6" s="27" t="s">
        <v>331</v>
      </c>
      <c r="B6" s="30" t="n">
        <f aca="false">Master!C9</f>
        <v>264</v>
      </c>
      <c r="C6" s="27" t="s">
        <v>135</v>
      </c>
      <c r="D6" s="43" t="s">
        <v>20</v>
      </c>
      <c r="E6" s="43"/>
    </row>
    <row r="7" customFormat="false" ht="15" hidden="false" customHeight="true" outlineLevel="0" collapsed="false">
      <c r="A7" s="27" t="s">
        <v>198</v>
      </c>
      <c r="B7" s="32" t="n">
        <f aca="false">Master!C35</f>
        <v>1406.62741935484</v>
      </c>
      <c r="C7" s="27" t="s">
        <v>193</v>
      </c>
      <c r="D7" s="43" t="s">
        <v>20</v>
      </c>
      <c r="E7" s="43"/>
    </row>
    <row r="8" customFormat="false" ht="15" hidden="false" customHeight="true" outlineLevel="0" collapsed="false">
      <c r="A8" s="27" t="s">
        <v>361</v>
      </c>
      <c r="B8" s="32" t="n">
        <f aca="false">Master!C35+LoadTransfer!C8</f>
        <v>2066.80877419355</v>
      </c>
      <c r="C8" s="27" t="s">
        <v>193</v>
      </c>
      <c r="D8" s="43" t="s">
        <v>362</v>
      </c>
      <c r="E8" s="43"/>
    </row>
    <row r="9" customFormat="false" ht="15" hidden="false" customHeight="true" outlineLevel="0" collapsed="false">
      <c r="A9" s="27" t="s">
        <v>363</v>
      </c>
      <c r="B9" s="35" t="n">
        <f aca="false">Master!C20</f>
        <v>1.5</v>
      </c>
      <c r="C9" s="27" t="s">
        <v>138</v>
      </c>
      <c r="D9" s="43" t="s">
        <v>24</v>
      </c>
      <c r="E9" s="43"/>
    </row>
    <row r="10" customFormat="false" ht="15" hidden="false" customHeight="true" outlineLevel="0" collapsed="false">
      <c r="A10" s="27" t="s">
        <v>364</v>
      </c>
      <c r="B10" s="32" t="n">
        <f aca="false">Master!C20*(Master!C35+LoadTransfer!C8)</f>
        <v>3100.21316129032</v>
      </c>
      <c r="C10" s="27" t="s">
        <v>193</v>
      </c>
      <c r="D10" s="43" t="s">
        <v>365</v>
      </c>
      <c r="E10" s="43"/>
    </row>
    <row r="11" customFormat="false" ht="15" hidden="false" customHeight="true" outlineLevel="0" collapsed="false">
      <c r="A11" s="27" t="s">
        <v>168</v>
      </c>
      <c r="B11" s="32" t="n">
        <f aca="false">Master!C23</f>
        <v>228</v>
      </c>
      <c r="C11" s="27" t="s">
        <v>141</v>
      </c>
      <c r="D11" s="43" t="s">
        <v>24</v>
      </c>
      <c r="E11" s="43"/>
    </row>
    <row r="13" customFormat="false" ht="18" hidden="false" customHeight="true" outlineLevel="0" collapsed="false">
      <c r="A13" s="4" t="s">
        <v>349</v>
      </c>
      <c r="B13" s="4"/>
      <c r="C13" s="4"/>
      <c r="D13" s="4"/>
      <c r="E13" s="4"/>
      <c r="F13" s="4"/>
      <c r="G13" s="4"/>
      <c r="H13" s="4"/>
      <c r="I13" s="4"/>
    </row>
    <row r="14" customFormat="false" ht="27.75" hidden="false" customHeight="true" outlineLevel="0" collapsed="false">
      <c r="A14" s="26" t="s">
        <v>115</v>
      </c>
      <c r="B14" s="26" t="s">
        <v>117</v>
      </c>
      <c r="C14" s="26" t="s">
        <v>118</v>
      </c>
      <c r="D14" s="26" t="s">
        <v>123</v>
      </c>
      <c r="E14" s="26"/>
    </row>
    <row r="15" customFormat="false" ht="15" hidden="false" customHeight="true" outlineLevel="0" collapsed="false">
      <c r="A15" s="27" t="s">
        <v>337</v>
      </c>
      <c r="B15" s="33" t="n">
        <v>32</v>
      </c>
      <c r="C15" s="27" t="s">
        <v>338</v>
      </c>
      <c r="D15" s="42" t="s">
        <v>366</v>
      </c>
      <c r="E15" s="42"/>
    </row>
    <row r="16" customFormat="false" ht="15" hidden="false" customHeight="true" outlineLevel="0" collapsed="false">
      <c r="A16" s="27" t="s">
        <v>367</v>
      </c>
      <c r="B16" s="33" t="n">
        <v>35.3</v>
      </c>
      <c r="C16" s="27" t="s">
        <v>368</v>
      </c>
      <c r="D16" s="42"/>
      <c r="E16" s="42"/>
    </row>
    <row r="17" customFormat="false" ht="15" hidden="false" customHeight="true" outlineLevel="0" collapsed="false">
      <c r="A17" s="27" t="s">
        <v>339</v>
      </c>
      <c r="B17" s="36" t="n">
        <v>3</v>
      </c>
      <c r="C17" s="27" t="s">
        <v>138</v>
      </c>
      <c r="D17" s="42" t="s">
        <v>366</v>
      </c>
      <c r="E17" s="42"/>
    </row>
    <row r="18" customFormat="false" ht="15" hidden="false" customHeight="true" outlineLevel="0" collapsed="false">
      <c r="A18" s="27" t="s">
        <v>369</v>
      </c>
      <c r="B18" s="41" t="s">
        <v>370</v>
      </c>
      <c r="C18" s="27" t="s">
        <v>138</v>
      </c>
      <c r="D18" s="42" t="s">
        <v>371</v>
      </c>
      <c r="E18" s="42"/>
    </row>
    <row r="19" customFormat="false" ht="15" hidden="false" customHeight="true" outlineLevel="0" collapsed="false">
      <c r="A19" s="27" t="s">
        <v>372</v>
      </c>
      <c r="B19" s="34"/>
      <c r="C19" s="27" t="s">
        <v>368</v>
      </c>
      <c r="D19" s="42" t="s">
        <v>373</v>
      </c>
      <c r="E19" s="42"/>
    </row>
  </sheetData>
  <mergeCells count="15">
    <mergeCell ref="A1:E1"/>
    <mergeCell ref="A2:E2"/>
    <mergeCell ref="A4:I4"/>
    <mergeCell ref="D6:E6"/>
    <mergeCell ref="D7:E7"/>
    <mergeCell ref="D8:E8"/>
    <mergeCell ref="D9:E9"/>
    <mergeCell ref="D10:E10"/>
    <mergeCell ref="D11:E11"/>
    <mergeCell ref="A13:I13"/>
    <mergeCell ref="D15:E15"/>
    <mergeCell ref="D16:E16"/>
    <mergeCell ref="D17:E17"/>
    <mergeCell ref="D18:E18"/>
    <mergeCell ref="D19:E19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4"/>
    <col collapsed="false" customWidth="true" hidden="false" outlineLevel="0" max="3" min="3" style="1" width="10"/>
    <col collapsed="false" customWidth="true" hidden="false" outlineLevel="0" max="4" min="4" style="1" width="34"/>
    <col collapsed="false" customWidth="true" hidden="false" outlineLevel="0" max="5" min="5" style="1" width="6"/>
  </cols>
  <sheetData>
    <row r="1" customFormat="false" ht="25.5" hidden="false" customHeight="true" outlineLevel="0" collapsed="false">
      <c r="A1" s="2" t="s">
        <v>374</v>
      </c>
      <c r="B1" s="2"/>
      <c r="C1" s="2"/>
      <c r="D1" s="2"/>
      <c r="E1" s="2"/>
    </row>
    <row r="2" customFormat="false" ht="15" hidden="false" customHeight="true" outlineLevel="0" collapsed="false">
      <c r="A2" s="3" t="s">
        <v>375</v>
      </c>
      <c r="B2" s="3"/>
      <c r="C2" s="3"/>
      <c r="D2" s="3"/>
      <c r="E2" s="3"/>
    </row>
    <row r="4" customFormat="false" ht="18" hidden="false" customHeight="true" outlineLevel="0" collapsed="false">
      <c r="A4" s="4" t="s">
        <v>344</v>
      </c>
      <c r="B4" s="4"/>
      <c r="C4" s="4"/>
      <c r="D4" s="4"/>
      <c r="E4" s="4"/>
      <c r="F4" s="4"/>
      <c r="G4" s="4"/>
      <c r="H4" s="4"/>
      <c r="I4" s="4"/>
    </row>
    <row r="5" customFormat="false" ht="27.75" hidden="false" customHeight="true" outlineLevel="0" collapsed="false">
      <c r="A5" s="26" t="s">
        <v>115</v>
      </c>
      <c r="B5" s="26" t="s">
        <v>117</v>
      </c>
      <c r="C5" s="26" t="s">
        <v>118</v>
      </c>
      <c r="D5" s="26" t="s">
        <v>119</v>
      </c>
      <c r="E5" s="26"/>
    </row>
    <row r="6" customFormat="false" ht="15" hidden="false" customHeight="true" outlineLevel="0" collapsed="false">
      <c r="A6" s="27" t="s">
        <v>158</v>
      </c>
      <c r="B6" s="32" t="n">
        <f aca="false">Master!C18</f>
        <v>40</v>
      </c>
      <c r="C6" s="27" t="s">
        <v>141</v>
      </c>
      <c r="D6" s="43" t="s">
        <v>20</v>
      </c>
      <c r="E6" s="43"/>
    </row>
    <row r="7" customFormat="false" ht="15" hidden="false" customHeight="true" outlineLevel="0" collapsed="false">
      <c r="A7" s="27" t="s">
        <v>139</v>
      </c>
      <c r="B7" s="32" t="n">
        <f aca="false">Master!C11</f>
        <v>263.409090909091</v>
      </c>
      <c r="C7" s="27" t="s">
        <v>141</v>
      </c>
      <c r="D7" s="43" t="s">
        <v>20</v>
      </c>
      <c r="E7" s="43"/>
    </row>
    <row r="8" customFormat="false" ht="15" hidden="false" customHeight="true" outlineLevel="0" collapsed="false">
      <c r="A8" s="27" t="s">
        <v>331</v>
      </c>
      <c r="B8" s="30" t="n">
        <f aca="false">Master!C9</f>
        <v>264</v>
      </c>
      <c r="C8" s="27" t="s">
        <v>135</v>
      </c>
      <c r="D8" s="43" t="s">
        <v>20</v>
      </c>
      <c r="E8" s="43"/>
    </row>
    <row r="9" customFormat="false" ht="15" hidden="false" customHeight="true" outlineLevel="0" collapsed="false">
      <c r="A9" s="27" t="s">
        <v>171</v>
      </c>
      <c r="B9" s="35" t="n">
        <f aca="false">Master!C25</f>
        <v>1.5</v>
      </c>
      <c r="C9" s="27" t="s">
        <v>173</v>
      </c>
      <c r="D9" s="43" t="s">
        <v>20</v>
      </c>
      <c r="E9" s="43"/>
    </row>
    <row r="11" customFormat="false" ht="18" hidden="false" customHeight="true" outlineLevel="0" collapsed="false">
      <c r="A11" s="4" t="s">
        <v>349</v>
      </c>
      <c r="B11" s="4"/>
      <c r="C11" s="4"/>
      <c r="D11" s="4"/>
      <c r="E11" s="4"/>
      <c r="F11" s="4"/>
      <c r="G11" s="4"/>
      <c r="H11" s="4"/>
      <c r="I11" s="4"/>
    </row>
    <row r="12" customFormat="false" ht="27.75" hidden="false" customHeight="true" outlineLevel="0" collapsed="false">
      <c r="A12" s="26" t="s">
        <v>115</v>
      </c>
      <c r="B12" s="26" t="s">
        <v>117</v>
      </c>
      <c r="C12" s="26" t="s">
        <v>118</v>
      </c>
      <c r="D12" s="26" t="s">
        <v>123</v>
      </c>
      <c r="E12" s="26"/>
    </row>
    <row r="13" customFormat="false" ht="15" hidden="false" customHeight="true" outlineLevel="0" collapsed="false">
      <c r="A13" s="27" t="s">
        <v>376</v>
      </c>
      <c r="B13" s="45" t="n">
        <v>0</v>
      </c>
      <c r="C13" s="27" t="s">
        <v>334</v>
      </c>
      <c r="D13" s="42" t="s">
        <v>377</v>
      </c>
      <c r="E13" s="42"/>
    </row>
    <row r="14" customFormat="false" ht="15" hidden="false" customHeight="true" outlineLevel="0" collapsed="false">
      <c r="A14" s="27" t="s">
        <v>378</v>
      </c>
      <c r="B14" s="45" t="n">
        <v>0</v>
      </c>
      <c r="C14" s="27" t="s">
        <v>334</v>
      </c>
      <c r="D14" s="42" t="s">
        <v>379</v>
      </c>
      <c r="E14" s="42"/>
    </row>
    <row r="15" customFormat="false" ht="15" hidden="false" customHeight="true" outlineLevel="0" collapsed="false">
      <c r="A15" s="27" t="s">
        <v>380</v>
      </c>
      <c r="B15" s="37" t="n">
        <v>0</v>
      </c>
      <c r="C15" s="27" t="s">
        <v>138</v>
      </c>
      <c r="D15" s="42" t="s">
        <v>381</v>
      </c>
      <c r="E15" s="42"/>
    </row>
    <row r="16" customFormat="false" ht="15" hidden="false" customHeight="true" outlineLevel="0" collapsed="false">
      <c r="A16" s="27" t="s">
        <v>382</v>
      </c>
      <c r="B16" s="34"/>
      <c r="C16" s="27" t="s">
        <v>193</v>
      </c>
      <c r="D16" s="42" t="s">
        <v>383</v>
      </c>
      <c r="E16" s="42"/>
    </row>
    <row r="17" customFormat="false" ht="15" hidden="false" customHeight="true" outlineLevel="0" collapsed="false">
      <c r="A17" s="27" t="s">
        <v>384</v>
      </c>
      <c r="B17" s="41"/>
      <c r="C17" s="27" t="s">
        <v>138</v>
      </c>
      <c r="D17" s="42" t="s">
        <v>385</v>
      </c>
      <c r="E17" s="42"/>
    </row>
    <row r="19" customFormat="false" ht="15" hidden="false" customHeight="true" outlineLevel="0" collapsed="false">
      <c r="A19" s="42" t="s">
        <v>386</v>
      </c>
      <c r="B19" s="42"/>
      <c r="C19" s="42"/>
      <c r="D19" s="42"/>
      <c r="E19" s="42"/>
    </row>
  </sheetData>
  <mergeCells count="14">
    <mergeCell ref="A1:E1"/>
    <mergeCell ref="A2:E2"/>
    <mergeCell ref="A4:I4"/>
    <mergeCell ref="D6:E6"/>
    <mergeCell ref="D7:E7"/>
    <mergeCell ref="D8:E8"/>
    <mergeCell ref="D9:E9"/>
    <mergeCell ref="A11:I11"/>
    <mergeCell ref="D13:E13"/>
    <mergeCell ref="D14:E14"/>
    <mergeCell ref="D15:E15"/>
    <mergeCell ref="D16:E16"/>
    <mergeCell ref="D17:E17"/>
    <mergeCell ref="A19:E19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4"/>
    <col collapsed="false" customWidth="true" hidden="false" outlineLevel="0" max="3" min="3" style="1" width="10"/>
    <col collapsed="false" customWidth="true" hidden="false" outlineLevel="0" max="4" min="4" style="1" width="34"/>
    <col collapsed="false" customWidth="true" hidden="false" outlineLevel="0" max="5" min="5" style="1" width="6"/>
  </cols>
  <sheetData>
    <row r="1" customFormat="false" ht="25.5" hidden="false" customHeight="true" outlineLevel="0" collapsed="false">
      <c r="A1" s="2" t="s">
        <v>387</v>
      </c>
      <c r="B1" s="2"/>
      <c r="C1" s="2"/>
      <c r="D1" s="2"/>
      <c r="E1" s="2"/>
    </row>
    <row r="2" customFormat="false" ht="15" hidden="false" customHeight="true" outlineLevel="0" collapsed="false">
      <c r="A2" s="3" t="s">
        <v>388</v>
      </c>
      <c r="B2" s="3"/>
      <c r="C2" s="3"/>
      <c r="D2" s="3"/>
      <c r="E2" s="3"/>
    </row>
    <row r="4" customFormat="false" ht="18" hidden="false" customHeight="true" outlineLevel="0" collapsed="false">
      <c r="A4" s="4" t="s">
        <v>344</v>
      </c>
      <c r="B4" s="4"/>
      <c r="C4" s="4"/>
      <c r="D4" s="4"/>
      <c r="E4" s="4"/>
      <c r="F4" s="4"/>
      <c r="G4" s="4"/>
      <c r="H4" s="4"/>
      <c r="I4" s="4"/>
    </row>
    <row r="5" customFormat="false" ht="27.75" hidden="false" customHeight="true" outlineLevel="0" collapsed="false">
      <c r="A5" s="26" t="s">
        <v>115</v>
      </c>
      <c r="B5" s="26" t="s">
        <v>117</v>
      </c>
      <c r="C5" s="26" t="s">
        <v>118</v>
      </c>
      <c r="D5" s="26" t="s">
        <v>119</v>
      </c>
      <c r="E5" s="26"/>
    </row>
    <row r="6" customFormat="false" ht="15" hidden="false" customHeight="true" outlineLevel="0" collapsed="false">
      <c r="A6" s="27" t="s">
        <v>293</v>
      </c>
      <c r="B6" s="32" t="n">
        <f aca="false">Master!C34+LoadTransfer!C8</f>
        <v>1843.39393548387</v>
      </c>
      <c r="C6" s="27" t="s">
        <v>193</v>
      </c>
      <c r="D6" s="43" t="s">
        <v>362</v>
      </c>
      <c r="E6" s="43"/>
    </row>
    <row r="7" customFormat="false" ht="15" hidden="false" customHeight="true" outlineLevel="0" collapsed="false">
      <c r="A7" s="27" t="s">
        <v>295</v>
      </c>
      <c r="B7" s="32" t="n">
        <f aca="false">Master!C35-LoadTransfer!C8</f>
        <v>746.446064516129</v>
      </c>
      <c r="C7" s="27" t="s">
        <v>193</v>
      </c>
      <c r="D7" s="43" t="s">
        <v>362</v>
      </c>
      <c r="E7" s="43"/>
    </row>
    <row r="8" customFormat="false" ht="15" hidden="false" customHeight="true" outlineLevel="0" collapsed="false">
      <c r="A8" s="27" t="s">
        <v>389</v>
      </c>
      <c r="B8" s="31" t="n">
        <f aca="false">(Master!C34+LoadTransfer!C8)/(Master!C33)</f>
        <v>0.71177908113392</v>
      </c>
      <c r="C8" s="27" t="s">
        <v>138</v>
      </c>
      <c r="D8" s="43" t="s">
        <v>390</v>
      </c>
      <c r="E8" s="43"/>
    </row>
    <row r="9" customFormat="false" ht="15" hidden="false" customHeight="true" outlineLevel="0" collapsed="false">
      <c r="A9" s="27" t="s">
        <v>391</v>
      </c>
      <c r="B9" s="35" t="n">
        <f aca="false">Master!C26</f>
        <v>1.5</v>
      </c>
      <c r="C9" s="27" t="s">
        <v>173</v>
      </c>
      <c r="D9" s="43" t="s">
        <v>20</v>
      </c>
      <c r="E9" s="43"/>
    </row>
    <row r="10" customFormat="false" ht="15" hidden="false" customHeight="true" outlineLevel="0" collapsed="false">
      <c r="A10" s="27" t="s">
        <v>392</v>
      </c>
      <c r="B10" s="35" t="n">
        <f aca="false">Master!C20</f>
        <v>1.5</v>
      </c>
      <c r="C10" s="27" t="s">
        <v>138</v>
      </c>
      <c r="D10" s="43" t="s">
        <v>393</v>
      </c>
      <c r="E10" s="43"/>
    </row>
    <row r="12" customFormat="false" ht="18" hidden="false" customHeight="true" outlineLevel="0" collapsed="false">
      <c r="A12" s="4" t="s">
        <v>349</v>
      </c>
      <c r="B12" s="4"/>
      <c r="C12" s="4"/>
      <c r="D12" s="4"/>
      <c r="E12" s="4"/>
      <c r="F12" s="4"/>
      <c r="G12" s="4"/>
      <c r="H12" s="4"/>
      <c r="I12" s="4"/>
    </row>
    <row r="13" customFormat="false" ht="27.75" hidden="false" customHeight="true" outlineLevel="0" collapsed="false">
      <c r="A13" s="26" t="s">
        <v>115</v>
      </c>
      <c r="B13" s="26" t="s">
        <v>117</v>
      </c>
      <c r="C13" s="26" t="s">
        <v>118</v>
      </c>
      <c r="D13" s="26" t="s">
        <v>123</v>
      </c>
      <c r="E13" s="26"/>
    </row>
    <row r="14" customFormat="false" ht="15" hidden="false" customHeight="true" outlineLevel="0" collapsed="false">
      <c r="A14" s="27" t="s">
        <v>394</v>
      </c>
      <c r="B14" s="34" t="n">
        <v>90</v>
      </c>
      <c r="C14" s="27" t="s">
        <v>141</v>
      </c>
      <c r="D14" s="42"/>
      <c r="E14" s="42"/>
    </row>
    <row r="15" customFormat="false" ht="15" hidden="false" customHeight="true" outlineLevel="0" collapsed="false">
      <c r="A15" s="27" t="s">
        <v>395</v>
      </c>
      <c r="B15" s="34" t="n">
        <v>1200</v>
      </c>
      <c r="C15" s="27" t="s">
        <v>396</v>
      </c>
      <c r="D15" s="42"/>
      <c r="E15" s="42"/>
    </row>
    <row r="16" customFormat="false" ht="15" hidden="false" customHeight="true" outlineLevel="0" collapsed="false">
      <c r="A16" s="27" t="s">
        <v>397</v>
      </c>
      <c r="B16" s="36" t="n">
        <v>0.4</v>
      </c>
      <c r="C16" s="27" t="s">
        <v>138</v>
      </c>
      <c r="D16" s="42"/>
      <c r="E16" s="42"/>
    </row>
    <row r="17" customFormat="false" ht="15" hidden="false" customHeight="true" outlineLevel="0" collapsed="false">
      <c r="A17" s="27" t="s">
        <v>398</v>
      </c>
      <c r="B17" s="41"/>
      <c r="C17" s="27" t="s">
        <v>141</v>
      </c>
      <c r="D17" s="42" t="s">
        <v>399</v>
      </c>
      <c r="E17" s="42"/>
    </row>
    <row r="18" customFormat="false" ht="15" hidden="false" customHeight="true" outlineLevel="0" collapsed="false">
      <c r="A18" s="27" t="s">
        <v>400</v>
      </c>
      <c r="B18" s="37"/>
      <c r="C18" s="27" t="s">
        <v>138</v>
      </c>
      <c r="D18" s="42" t="s">
        <v>401</v>
      </c>
      <c r="E18" s="42"/>
    </row>
  </sheetData>
  <mergeCells count="14">
    <mergeCell ref="A1:E1"/>
    <mergeCell ref="A2:E2"/>
    <mergeCell ref="A4:I4"/>
    <mergeCell ref="D6:E6"/>
    <mergeCell ref="D7:E7"/>
    <mergeCell ref="D8:E8"/>
    <mergeCell ref="D9:E9"/>
    <mergeCell ref="D10:E10"/>
    <mergeCell ref="A12:I12"/>
    <mergeCell ref="D14:E14"/>
    <mergeCell ref="D15:E15"/>
    <mergeCell ref="D16:E16"/>
    <mergeCell ref="D17:E17"/>
    <mergeCell ref="D18:E18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4"/>
    <col collapsed="false" customWidth="true" hidden="false" outlineLevel="0" max="3" min="3" style="1" width="10"/>
    <col collapsed="false" customWidth="true" hidden="false" outlineLevel="0" max="4" min="4" style="1" width="34"/>
    <col collapsed="false" customWidth="true" hidden="false" outlineLevel="0" max="5" min="5" style="1" width="6"/>
  </cols>
  <sheetData>
    <row r="1" customFormat="false" ht="25.5" hidden="false" customHeight="true" outlineLevel="0" collapsed="false">
      <c r="A1" s="2" t="s">
        <v>402</v>
      </c>
      <c r="B1" s="2"/>
      <c r="C1" s="2"/>
      <c r="D1" s="2"/>
      <c r="E1" s="2"/>
    </row>
    <row r="2" customFormat="false" ht="15" hidden="false" customHeight="true" outlineLevel="0" collapsed="false">
      <c r="A2" s="3" t="s">
        <v>403</v>
      </c>
      <c r="B2" s="3"/>
      <c r="C2" s="3"/>
      <c r="D2" s="3"/>
      <c r="E2" s="3"/>
    </row>
    <row r="4" customFormat="false" ht="18" hidden="false" customHeight="true" outlineLevel="0" collapsed="false">
      <c r="A4" s="4" t="s">
        <v>344</v>
      </c>
      <c r="B4" s="4"/>
      <c r="C4" s="4"/>
      <c r="D4" s="4"/>
      <c r="E4" s="4"/>
      <c r="F4" s="4"/>
      <c r="G4" s="4"/>
      <c r="H4" s="4"/>
      <c r="I4" s="4"/>
    </row>
    <row r="5" customFormat="false" ht="27.75" hidden="false" customHeight="true" outlineLevel="0" collapsed="false">
      <c r="A5" s="26" t="s">
        <v>115</v>
      </c>
      <c r="B5" s="26" t="s">
        <v>117</v>
      </c>
      <c r="C5" s="26" t="s">
        <v>118</v>
      </c>
      <c r="D5" s="26" t="s">
        <v>119</v>
      </c>
      <c r="E5" s="26"/>
    </row>
    <row r="6" customFormat="false" ht="15" hidden="false" customHeight="true" outlineLevel="0" collapsed="false">
      <c r="A6" s="27" t="s">
        <v>150</v>
      </c>
      <c r="B6" s="32" t="n">
        <f aca="false">Master!C15</f>
        <v>1550</v>
      </c>
      <c r="C6" s="27" t="s">
        <v>141</v>
      </c>
      <c r="D6" s="43" t="s">
        <v>20</v>
      </c>
      <c r="E6" s="43"/>
    </row>
    <row r="7" customFormat="false" ht="15" hidden="false" customHeight="true" outlineLevel="0" collapsed="false">
      <c r="A7" s="27" t="s">
        <v>139</v>
      </c>
      <c r="B7" s="32" t="n">
        <f aca="false">Master!C11</f>
        <v>263.409090909091</v>
      </c>
      <c r="C7" s="27" t="s">
        <v>141</v>
      </c>
      <c r="D7" s="43" t="s">
        <v>20</v>
      </c>
      <c r="E7" s="43"/>
    </row>
    <row r="8" customFormat="false" ht="15" hidden="false" customHeight="true" outlineLevel="0" collapsed="false">
      <c r="A8" s="27" t="s">
        <v>331</v>
      </c>
      <c r="B8" s="30" t="n">
        <f aca="false">Master!C9</f>
        <v>264</v>
      </c>
      <c r="C8" s="27" t="s">
        <v>135</v>
      </c>
      <c r="D8" s="43" t="s">
        <v>20</v>
      </c>
      <c r="E8" s="43"/>
    </row>
    <row r="10" customFormat="false" ht="18" hidden="false" customHeight="true" outlineLevel="0" collapsed="false">
      <c r="A10" s="4" t="s">
        <v>349</v>
      </c>
      <c r="B10" s="4"/>
      <c r="C10" s="4"/>
      <c r="D10" s="4"/>
      <c r="E10" s="4"/>
      <c r="F10" s="4"/>
      <c r="G10" s="4"/>
      <c r="H10" s="4"/>
      <c r="I10" s="4"/>
    </row>
    <row r="11" customFormat="false" ht="27.75" hidden="false" customHeight="true" outlineLevel="0" collapsed="false">
      <c r="A11" s="26" t="s">
        <v>115</v>
      </c>
      <c r="B11" s="26" t="s">
        <v>117</v>
      </c>
      <c r="C11" s="26" t="s">
        <v>118</v>
      </c>
      <c r="D11" s="26" t="s">
        <v>123</v>
      </c>
      <c r="E11" s="26"/>
    </row>
    <row r="12" customFormat="false" ht="15" hidden="false" customHeight="true" outlineLevel="0" collapsed="false">
      <c r="A12" s="27" t="s">
        <v>404</v>
      </c>
      <c r="B12" s="33" t="n">
        <v>75</v>
      </c>
      <c r="C12" s="27" t="s">
        <v>135</v>
      </c>
      <c r="D12" s="42" t="s">
        <v>405</v>
      </c>
      <c r="E12" s="42"/>
    </row>
    <row r="13" customFormat="false" ht="15" hidden="false" customHeight="true" outlineLevel="0" collapsed="false">
      <c r="A13" s="27" t="s">
        <v>406</v>
      </c>
      <c r="B13" s="34" t="n">
        <v>300</v>
      </c>
      <c r="C13" s="27" t="s">
        <v>141</v>
      </c>
      <c r="D13" s="42" t="s">
        <v>407</v>
      </c>
      <c r="E13" s="42"/>
    </row>
    <row r="14" customFormat="false" ht="15" hidden="false" customHeight="true" outlineLevel="0" collapsed="false">
      <c r="A14" s="27" t="s">
        <v>408</v>
      </c>
      <c r="B14" s="34" t="n">
        <v>45</v>
      </c>
      <c r="C14" s="27" t="s">
        <v>167</v>
      </c>
      <c r="D14" s="42" t="s">
        <v>409</v>
      </c>
      <c r="E14" s="42"/>
    </row>
    <row r="15" customFormat="false" ht="15" hidden="false" customHeight="true" outlineLevel="0" collapsed="false">
      <c r="A15" s="27" t="s">
        <v>410</v>
      </c>
      <c r="B15" s="34" t="n">
        <v>275</v>
      </c>
      <c r="C15" s="27" t="s">
        <v>141</v>
      </c>
      <c r="D15" s="42" t="s">
        <v>411</v>
      </c>
      <c r="E15" s="42"/>
    </row>
    <row r="16" customFormat="false" ht="15" hidden="false" customHeight="true" outlineLevel="0" collapsed="false">
      <c r="A16" s="27" t="s">
        <v>412</v>
      </c>
      <c r="B16" s="34"/>
      <c r="C16" s="27" t="s">
        <v>141</v>
      </c>
      <c r="D16" s="42"/>
      <c r="E16" s="42"/>
    </row>
    <row r="17" customFormat="false" ht="15" hidden="false" customHeight="true" outlineLevel="0" collapsed="false">
      <c r="A17" s="27" t="s">
        <v>413</v>
      </c>
      <c r="B17" s="34"/>
      <c r="C17" s="27" t="s">
        <v>141</v>
      </c>
      <c r="D17" s="42" t="s">
        <v>414</v>
      </c>
      <c r="E17" s="42"/>
    </row>
    <row r="19" customFormat="false" ht="26.25" hidden="false" customHeight="true" outlineLevel="0" collapsed="false">
      <c r="A19" s="42" t="s">
        <v>415</v>
      </c>
      <c r="B19" s="42"/>
      <c r="C19" s="42"/>
      <c r="D19" s="42"/>
      <c r="E19" s="42"/>
    </row>
  </sheetData>
  <mergeCells count="14">
    <mergeCell ref="A1:E1"/>
    <mergeCell ref="A2:E2"/>
    <mergeCell ref="A4:I4"/>
    <mergeCell ref="D6:E6"/>
    <mergeCell ref="D7:E7"/>
    <mergeCell ref="D8:E8"/>
    <mergeCell ref="A10:I10"/>
    <mergeCell ref="D12:E12"/>
    <mergeCell ref="D13:E13"/>
    <mergeCell ref="D14:E14"/>
    <mergeCell ref="D15:E15"/>
    <mergeCell ref="D16:E16"/>
    <mergeCell ref="D17:E17"/>
    <mergeCell ref="A19:E19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3" min="2" style="1" width="16"/>
    <col collapsed="false" customWidth="true" hidden="false" outlineLevel="0" max="4" min="4" style="1" width="40"/>
    <col collapsed="false" customWidth="true" hidden="false" outlineLevel="0" max="5" min="5" style="1" width="6"/>
  </cols>
  <sheetData>
    <row r="1" customFormat="false" ht="25.5" hidden="false" customHeight="true" outlineLevel="0" collapsed="false">
      <c r="A1" s="2" t="s">
        <v>416</v>
      </c>
      <c r="B1" s="2"/>
      <c r="C1" s="2"/>
      <c r="D1" s="2"/>
      <c r="E1" s="2"/>
    </row>
    <row r="2" customFormat="false" ht="15" hidden="false" customHeight="true" outlineLevel="0" collapsed="false">
      <c r="A2" s="3" t="s">
        <v>417</v>
      </c>
      <c r="B2" s="3"/>
      <c r="C2" s="3"/>
      <c r="D2" s="3"/>
      <c r="E2" s="3"/>
    </row>
    <row r="4" customFormat="false" ht="27.75" hidden="false" customHeight="true" outlineLevel="0" collapsed="false">
      <c r="A4" s="26" t="s">
        <v>418</v>
      </c>
      <c r="B4" s="26" t="s">
        <v>419</v>
      </c>
      <c r="C4" s="26" t="s">
        <v>420</v>
      </c>
      <c r="D4" s="26" t="s">
        <v>421</v>
      </c>
      <c r="E4" s="26"/>
    </row>
    <row r="5" customFormat="false" ht="15" hidden="false" customHeight="true" outlineLevel="0" collapsed="false">
      <c r="A5" s="27" t="s">
        <v>422</v>
      </c>
      <c r="B5" s="27" t="s">
        <v>423</v>
      </c>
      <c r="C5" s="27" t="s">
        <v>424</v>
      </c>
      <c r="D5" s="42" t="s">
        <v>425</v>
      </c>
      <c r="E5" s="42"/>
    </row>
    <row r="6" customFormat="false" ht="15" hidden="false" customHeight="true" outlineLevel="0" collapsed="false">
      <c r="A6" s="27" t="s">
        <v>426</v>
      </c>
      <c r="B6" s="27" t="s">
        <v>427</v>
      </c>
      <c r="C6" s="27" t="s">
        <v>428</v>
      </c>
      <c r="D6" s="42" t="s">
        <v>429</v>
      </c>
      <c r="E6" s="42"/>
    </row>
    <row r="7" customFormat="false" ht="15" hidden="false" customHeight="true" outlineLevel="0" collapsed="false">
      <c r="A7" s="27" t="s">
        <v>430</v>
      </c>
      <c r="B7" s="27" t="s">
        <v>431</v>
      </c>
      <c r="C7" s="27" t="s">
        <v>428</v>
      </c>
      <c r="D7" s="42" t="s">
        <v>432</v>
      </c>
      <c r="E7" s="42"/>
    </row>
    <row r="8" customFormat="false" ht="15" hidden="false" customHeight="true" outlineLevel="0" collapsed="false">
      <c r="A8" s="27" t="s">
        <v>433</v>
      </c>
      <c r="B8" s="27" t="s">
        <v>434</v>
      </c>
      <c r="C8" s="27" t="s">
        <v>428</v>
      </c>
      <c r="D8" s="42" t="s">
        <v>435</v>
      </c>
      <c r="E8" s="42"/>
    </row>
    <row r="9" customFormat="false" ht="15" hidden="false" customHeight="true" outlineLevel="0" collapsed="false">
      <c r="A9" s="27" t="s">
        <v>436</v>
      </c>
      <c r="B9" s="27" t="s">
        <v>437</v>
      </c>
      <c r="C9" s="27" t="s">
        <v>438</v>
      </c>
      <c r="D9" s="42" t="s">
        <v>439</v>
      </c>
      <c r="E9" s="42"/>
    </row>
    <row r="10" customFormat="false" ht="15" hidden="false" customHeight="true" outlineLevel="0" collapsed="false">
      <c r="A10" s="27" t="s">
        <v>440</v>
      </c>
      <c r="B10" s="27" t="s">
        <v>441</v>
      </c>
      <c r="C10" s="27" t="s">
        <v>438</v>
      </c>
      <c r="D10" s="42" t="s">
        <v>442</v>
      </c>
      <c r="E10" s="42"/>
    </row>
    <row r="11" customFormat="false" ht="15" hidden="false" customHeight="true" outlineLevel="0" collapsed="false">
      <c r="A11" s="27" t="s">
        <v>443</v>
      </c>
      <c r="B11" s="27" t="s">
        <v>444</v>
      </c>
      <c r="C11" s="27" t="s">
        <v>438</v>
      </c>
      <c r="D11" s="42" t="s">
        <v>445</v>
      </c>
      <c r="E11" s="42"/>
    </row>
    <row r="12" customFormat="false" ht="15" hidden="false" customHeight="true" outlineLevel="0" collapsed="false">
      <c r="A12" s="27" t="s">
        <v>446</v>
      </c>
      <c r="B12" s="27" t="s">
        <v>447</v>
      </c>
      <c r="C12" s="27" t="s">
        <v>424</v>
      </c>
      <c r="D12" s="42" t="s">
        <v>448</v>
      </c>
      <c r="E12" s="42"/>
    </row>
    <row r="13" customFormat="false" ht="15" hidden="false" customHeight="true" outlineLevel="0" collapsed="false">
      <c r="A13" s="27" t="s">
        <v>449</v>
      </c>
      <c r="B13" s="27" t="s">
        <v>450</v>
      </c>
      <c r="C13" s="27" t="s">
        <v>451</v>
      </c>
      <c r="D13" s="42" t="s">
        <v>452</v>
      </c>
      <c r="E13" s="42"/>
    </row>
    <row r="14" customFormat="false" ht="15" hidden="false" customHeight="true" outlineLevel="0" collapsed="false">
      <c r="A14" s="27" t="s">
        <v>453</v>
      </c>
      <c r="B14" s="27" t="s">
        <v>453</v>
      </c>
      <c r="C14" s="27" t="s">
        <v>451</v>
      </c>
      <c r="D14" s="42" t="s">
        <v>454</v>
      </c>
      <c r="E14" s="42"/>
    </row>
  </sheetData>
  <mergeCells count="12">
    <mergeCell ref="A1:E1"/>
    <mergeCell ref="A2:E2"/>
    <mergeCell ref="D5:E5"/>
    <mergeCell ref="D6:E6"/>
    <mergeCell ref="D7:E7"/>
    <mergeCell ref="D8:E8"/>
    <mergeCell ref="D9:E9"/>
    <mergeCell ref="D10:E10"/>
    <mergeCell ref="D11:E11"/>
    <mergeCell ref="D12:E12"/>
    <mergeCell ref="D13:E13"/>
    <mergeCell ref="D14:E14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16"/>
    <col collapsed="false" customWidth="true" hidden="false" outlineLevel="0" max="3" min="3" style="1" width="10"/>
    <col collapsed="false" customWidth="true" hidden="false" outlineLevel="0" max="4" min="4" style="1" width="34"/>
    <col collapsed="false" customWidth="true" hidden="false" outlineLevel="0" max="5" min="5" style="1" width="6"/>
  </cols>
  <sheetData>
    <row r="1" customFormat="false" ht="25.5" hidden="false" customHeight="true" outlineLevel="0" collapsed="false">
      <c r="A1" s="2" t="s">
        <v>455</v>
      </c>
      <c r="B1" s="2"/>
      <c r="C1" s="2"/>
      <c r="D1" s="2"/>
      <c r="E1" s="2"/>
    </row>
    <row r="2" customFormat="false" ht="15" hidden="false" customHeight="true" outlineLevel="0" collapsed="false">
      <c r="A2" s="3" t="s">
        <v>456</v>
      </c>
      <c r="B2" s="3"/>
      <c r="C2" s="3"/>
      <c r="D2" s="3"/>
      <c r="E2" s="3"/>
    </row>
    <row r="4" customFormat="false" ht="27.75" hidden="false" customHeight="true" outlineLevel="0" collapsed="false">
      <c r="A4" s="26" t="s">
        <v>457</v>
      </c>
      <c r="B4" s="26" t="s">
        <v>117</v>
      </c>
      <c r="C4" s="26" t="s">
        <v>118</v>
      </c>
      <c r="D4" s="26" t="s">
        <v>123</v>
      </c>
      <c r="E4" s="26"/>
    </row>
    <row r="5" customFormat="false" ht="15" hidden="false" customHeight="true" outlineLevel="0" collapsed="false">
      <c r="A5" s="27" t="s">
        <v>227</v>
      </c>
      <c r="B5" s="41" t="s">
        <v>458</v>
      </c>
      <c r="C5" s="27" t="s">
        <v>138</v>
      </c>
      <c r="D5" s="42" t="s">
        <v>459</v>
      </c>
      <c r="E5" s="42"/>
    </row>
    <row r="6" customFormat="false" ht="15" hidden="false" customHeight="true" outlineLevel="0" collapsed="false">
      <c r="A6" s="27" t="s">
        <v>460</v>
      </c>
      <c r="B6" s="33" t="s">
        <v>461</v>
      </c>
      <c r="C6" s="27" t="s">
        <v>135</v>
      </c>
      <c r="D6" s="42" t="s">
        <v>462</v>
      </c>
      <c r="E6" s="42"/>
    </row>
    <row r="7" customFormat="false" ht="15" hidden="false" customHeight="true" outlineLevel="0" collapsed="false">
      <c r="A7" s="27" t="s">
        <v>463</v>
      </c>
      <c r="B7" s="34" t="s">
        <v>464</v>
      </c>
      <c r="C7" s="27" t="s">
        <v>465</v>
      </c>
      <c r="D7" s="42" t="s">
        <v>466</v>
      </c>
      <c r="E7" s="42"/>
    </row>
    <row r="8" customFormat="false" ht="15" hidden="false" customHeight="true" outlineLevel="0" collapsed="false">
      <c r="A8" s="27" t="s">
        <v>467</v>
      </c>
      <c r="B8" s="34" t="s">
        <v>468</v>
      </c>
      <c r="C8" s="27" t="s">
        <v>192</v>
      </c>
      <c r="D8" s="42" t="s">
        <v>469</v>
      </c>
      <c r="E8" s="42"/>
    </row>
    <row r="9" customFormat="false" ht="15" hidden="false" customHeight="true" outlineLevel="0" collapsed="false">
      <c r="A9" s="27" t="s">
        <v>470</v>
      </c>
      <c r="B9" s="41" t="s">
        <v>471</v>
      </c>
      <c r="C9" s="27" t="s">
        <v>138</v>
      </c>
      <c r="D9" s="42" t="s">
        <v>472</v>
      </c>
      <c r="E9" s="42"/>
    </row>
    <row r="10" customFormat="false" ht="15" hidden="false" customHeight="true" outlineLevel="0" collapsed="false">
      <c r="A10" s="27" t="s">
        <v>473</v>
      </c>
      <c r="B10" s="41" t="s">
        <v>474</v>
      </c>
      <c r="C10" s="27" t="s">
        <v>138</v>
      </c>
      <c r="D10" s="42" t="s">
        <v>475</v>
      </c>
      <c r="E10" s="42"/>
    </row>
  </sheetData>
  <mergeCells count="8">
    <mergeCell ref="A1:E1"/>
    <mergeCell ref="A2:E2"/>
    <mergeCell ref="D5:E5"/>
    <mergeCell ref="D6:E6"/>
    <mergeCell ref="D7:E7"/>
    <mergeCell ref="D8:E8"/>
    <mergeCell ref="D9:E9"/>
    <mergeCell ref="D10:E10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3"/>
    <col collapsed="false" customWidth="true" hidden="false" outlineLevel="0" max="5" min="3" style="1" width="12"/>
    <col collapsed="false" customWidth="true" hidden="false" outlineLevel="0" max="6" min="6" style="1" width="4"/>
  </cols>
  <sheetData>
    <row r="1" customFormat="false" ht="25.5" hidden="false" customHeight="true" outlineLevel="0" collapsed="false">
      <c r="A1" s="2" t="s">
        <v>476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3" t="s">
        <v>477</v>
      </c>
      <c r="B2" s="3"/>
      <c r="C2" s="3"/>
      <c r="D2" s="3"/>
      <c r="E2" s="3"/>
      <c r="F2" s="3"/>
    </row>
    <row r="4" customFormat="false" ht="27.75" hidden="false" customHeight="true" outlineLevel="0" collapsed="false">
      <c r="A4" s="26" t="s">
        <v>478</v>
      </c>
      <c r="B4" s="26" t="s">
        <v>479</v>
      </c>
      <c r="C4" s="26" t="s">
        <v>480</v>
      </c>
      <c r="D4" s="26" t="s">
        <v>481</v>
      </c>
      <c r="E4" s="26" t="s">
        <v>482</v>
      </c>
      <c r="F4" s="26"/>
      <c r="G4" s="27"/>
    </row>
    <row r="5" customFormat="false" ht="15" hidden="false" customHeight="true" outlineLevel="0" collapsed="false">
      <c r="A5" s="27" t="s">
        <v>483</v>
      </c>
      <c r="B5" s="34" t="n">
        <v>5</v>
      </c>
      <c r="C5" s="34" t="n">
        <v>4</v>
      </c>
      <c r="D5" s="34" t="n">
        <v>3</v>
      </c>
      <c r="E5" s="34" t="n">
        <v>3</v>
      </c>
    </row>
    <row r="6" customFormat="false" ht="15" hidden="false" customHeight="true" outlineLevel="0" collapsed="false">
      <c r="A6" s="27" t="s">
        <v>250</v>
      </c>
      <c r="B6" s="34" t="n">
        <v>3</v>
      </c>
      <c r="C6" s="34" t="n">
        <v>2</v>
      </c>
      <c r="D6" s="34" t="n">
        <v>4</v>
      </c>
      <c r="E6" s="34" t="n">
        <v>3</v>
      </c>
    </row>
    <row r="7" customFormat="false" ht="15" hidden="false" customHeight="true" outlineLevel="0" collapsed="false">
      <c r="A7" s="27" t="s">
        <v>484</v>
      </c>
      <c r="B7" s="34" t="n">
        <v>4</v>
      </c>
      <c r="C7" s="34" t="n">
        <v>4</v>
      </c>
      <c r="D7" s="34" t="n">
        <v>4</v>
      </c>
      <c r="E7" s="34" t="n">
        <v>3</v>
      </c>
    </row>
    <row r="8" customFormat="false" ht="15" hidden="false" customHeight="true" outlineLevel="0" collapsed="false">
      <c r="A8" s="27" t="s">
        <v>485</v>
      </c>
      <c r="B8" s="34" t="n">
        <v>4</v>
      </c>
      <c r="C8" s="34" t="n">
        <v>5</v>
      </c>
      <c r="D8" s="34" t="n">
        <v>2</v>
      </c>
      <c r="E8" s="34" t="n">
        <v>2</v>
      </c>
    </row>
    <row r="9" customFormat="false" ht="15" hidden="false" customHeight="true" outlineLevel="0" collapsed="false">
      <c r="A9" s="27" t="s">
        <v>486</v>
      </c>
      <c r="B9" s="34" t="n">
        <v>3</v>
      </c>
      <c r="C9" s="34" t="n">
        <v>3</v>
      </c>
      <c r="D9" s="34" t="n">
        <v>3</v>
      </c>
      <c r="E9" s="34" t="n">
        <v>5</v>
      </c>
    </row>
    <row r="10" customFormat="false" ht="15" hidden="false" customHeight="true" outlineLevel="0" collapsed="false">
      <c r="A10" s="46" t="s">
        <v>487</v>
      </c>
      <c r="C10" s="47" t="n">
        <f aca="false">SUMPRODUCT($B5:$B9,C5:C9)</f>
        <v>71</v>
      </c>
      <c r="D10" s="47" t="n">
        <f aca="false">SUMPRODUCT($B5:$B9,D5:D9)</f>
        <v>60</v>
      </c>
      <c r="E10" s="47" t="n">
        <f aca="false">SUMPRODUCT($B5:$B9,E5:E9)</f>
        <v>59</v>
      </c>
    </row>
    <row r="12" customFormat="false" ht="26.25" hidden="false" customHeight="true" outlineLevel="0" collapsed="false">
      <c r="A12" s="29" t="s">
        <v>488</v>
      </c>
      <c r="B12" s="29"/>
      <c r="C12" s="29"/>
      <c r="D12" s="29"/>
      <c r="E12" s="29"/>
      <c r="F12" s="29"/>
    </row>
  </sheetData>
  <mergeCells count="3">
    <mergeCell ref="A1:F1"/>
    <mergeCell ref="A2:F2"/>
    <mergeCell ref="A12:F12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3" min="2" style="1" width="12"/>
    <col collapsed="false" customWidth="true" hidden="false" outlineLevel="0" max="4" min="4" style="1" width="10"/>
    <col collapsed="false" customWidth="true" hidden="false" outlineLevel="0" max="5" min="5" style="1" width="12"/>
    <col collapsed="false" customWidth="true" hidden="false" outlineLevel="0" max="6" min="6" style="1" width="10"/>
  </cols>
  <sheetData>
    <row r="1" customFormat="false" ht="25.5" hidden="false" customHeight="true" outlineLevel="0" collapsed="false">
      <c r="A1" s="2" t="s">
        <v>489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3" t="s">
        <v>490</v>
      </c>
      <c r="B2" s="3"/>
      <c r="C2" s="3"/>
      <c r="D2" s="3"/>
      <c r="E2" s="3"/>
      <c r="F2" s="3"/>
    </row>
    <row r="4" customFormat="false" ht="27.75" hidden="false" customHeight="true" outlineLevel="0" collapsed="false">
      <c r="A4" s="26" t="s">
        <v>491</v>
      </c>
      <c r="B4" s="26" t="s">
        <v>492</v>
      </c>
      <c r="C4" s="26" t="s">
        <v>493</v>
      </c>
      <c r="D4" s="26" t="s">
        <v>118</v>
      </c>
      <c r="E4" s="26" t="s">
        <v>494</v>
      </c>
      <c r="F4" s="26" t="s">
        <v>495</v>
      </c>
    </row>
    <row r="5" customFormat="false" ht="15" hidden="false" customHeight="true" outlineLevel="0" collapsed="false">
      <c r="A5" s="27" t="s">
        <v>496</v>
      </c>
      <c r="B5" s="35" t="n">
        <f aca="false">Master!C25</f>
        <v>1.5</v>
      </c>
      <c r="C5" s="36"/>
      <c r="D5" s="27" t="s">
        <v>173</v>
      </c>
      <c r="E5" s="40" t="n">
        <f aca="false">IFERROR(C5/B5,"")</f>
        <v>0</v>
      </c>
      <c r="F5" s="27" t="s">
        <v>497</v>
      </c>
    </row>
    <row r="6" customFormat="false" ht="15" hidden="false" customHeight="true" outlineLevel="0" collapsed="false">
      <c r="A6" s="27" t="s">
        <v>498</v>
      </c>
      <c r="B6" s="35" t="n">
        <f aca="false">Master!C26</f>
        <v>1.5</v>
      </c>
      <c r="C6" s="36"/>
      <c r="D6" s="27" t="s">
        <v>173</v>
      </c>
      <c r="E6" s="40" t="n">
        <f aca="false">IFERROR(C6/B6,"")</f>
        <v>0</v>
      </c>
      <c r="F6" s="27" t="s">
        <v>497</v>
      </c>
    </row>
    <row r="7" customFormat="false" ht="15" hidden="false" customHeight="true" outlineLevel="0" collapsed="false">
      <c r="A7" s="27" t="s">
        <v>331</v>
      </c>
      <c r="B7" s="30" t="n">
        <f aca="false">Master!C9</f>
        <v>264</v>
      </c>
      <c r="C7" s="33"/>
      <c r="D7" s="27" t="s">
        <v>135</v>
      </c>
      <c r="E7" s="40" t="n">
        <f aca="false">IFERROR(C7/B7,"")</f>
        <v>0</v>
      </c>
      <c r="F7" s="27" t="s">
        <v>499</v>
      </c>
    </row>
    <row r="8" customFormat="false" ht="15" hidden="false" customHeight="true" outlineLevel="0" collapsed="false">
      <c r="A8" s="27" t="s">
        <v>139</v>
      </c>
      <c r="B8" s="32" t="n">
        <f aca="false">Master!C11</f>
        <v>263.409090909091</v>
      </c>
      <c r="C8" s="34"/>
      <c r="D8" s="27" t="s">
        <v>141</v>
      </c>
      <c r="E8" s="40" t="n">
        <f aca="false">IFERROR(C8/B8,"")</f>
        <v>0</v>
      </c>
      <c r="F8" s="27" t="s">
        <v>499</v>
      </c>
    </row>
    <row r="9" customFormat="false" ht="15" hidden="false" customHeight="true" outlineLevel="0" collapsed="false">
      <c r="A9" s="27" t="s">
        <v>500</v>
      </c>
      <c r="B9" s="30" t="n">
        <f aca="false">Master!C27</f>
        <v>1.5</v>
      </c>
      <c r="C9" s="33"/>
      <c r="D9" s="27" t="s">
        <v>180</v>
      </c>
      <c r="E9" s="40" t="n">
        <f aca="false">IFERROR(C9/B9,"")</f>
        <v>0</v>
      </c>
      <c r="F9" s="27" t="s">
        <v>501</v>
      </c>
    </row>
    <row r="10" customFormat="false" ht="15" hidden="false" customHeight="true" outlineLevel="0" collapsed="false">
      <c r="A10" s="27" t="s">
        <v>502</v>
      </c>
      <c r="B10" s="35" t="n">
        <f aca="false">Master!C28</f>
        <v>2.8</v>
      </c>
      <c r="C10" s="36"/>
      <c r="D10" s="27" t="s">
        <v>183</v>
      </c>
      <c r="E10" s="40" t="n">
        <f aca="false">IFERROR(C10/B10,"")</f>
        <v>0</v>
      </c>
      <c r="F10" s="27" t="s">
        <v>501</v>
      </c>
    </row>
    <row r="11" customFormat="false" ht="15" hidden="false" customHeight="true" outlineLevel="0" collapsed="false">
      <c r="A11" s="27" t="s">
        <v>503</v>
      </c>
      <c r="B11" s="32" t="n">
        <f aca="false">Chassis!B15</f>
        <v>34</v>
      </c>
      <c r="C11" s="34"/>
      <c r="D11" s="27" t="s">
        <v>313</v>
      </c>
      <c r="E11" s="40" t="n">
        <f aca="false">IFERROR(C11/B11,"")</f>
        <v>0</v>
      </c>
      <c r="F11" s="27" t="s">
        <v>497</v>
      </c>
    </row>
  </sheetData>
  <mergeCells count="2">
    <mergeCell ref="A1:F1"/>
    <mergeCell ref="A2:F2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3" min="2" style="1" width="12"/>
    <col collapsed="false" customWidth="true" hidden="false" outlineLevel="0" max="4" min="4" style="1" width="10"/>
    <col collapsed="false" customWidth="true" hidden="false" outlineLevel="0" max="5" min="5" style="1" width="12"/>
    <col collapsed="false" customWidth="true" hidden="false" outlineLevel="0" max="6" min="6" style="1" width="4"/>
  </cols>
  <sheetData>
    <row r="1" customFormat="false" ht="25.5" hidden="false" customHeight="true" outlineLevel="0" collapsed="false">
      <c r="A1" s="2" t="s">
        <v>504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3" t="s">
        <v>505</v>
      </c>
      <c r="B2" s="3"/>
      <c r="C2" s="3"/>
      <c r="D2" s="3"/>
      <c r="E2" s="3"/>
      <c r="F2" s="3"/>
    </row>
    <row r="4" customFormat="false" ht="27.75" hidden="false" customHeight="true" outlineLevel="0" collapsed="false">
      <c r="A4" s="26" t="s">
        <v>267</v>
      </c>
      <c r="B4" s="26" t="s">
        <v>506</v>
      </c>
      <c r="C4" s="26" t="s">
        <v>507</v>
      </c>
      <c r="D4" s="26" t="s">
        <v>118</v>
      </c>
      <c r="E4" s="26" t="s">
        <v>508</v>
      </c>
      <c r="F4" s="26"/>
    </row>
    <row r="5" customFormat="false" ht="15" hidden="false" customHeight="true" outlineLevel="0" collapsed="false">
      <c r="A5" s="27" t="s">
        <v>509</v>
      </c>
      <c r="B5" s="35" t="n">
        <f aca="false">Master!C20</f>
        <v>1.5</v>
      </c>
      <c r="C5" s="36"/>
      <c r="D5" s="27" t="s">
        <v>173</v>
      </c>
      <c r="E5" s="40" t="n">
        <f aca="false">IFERROR((C5-B5)/B5,"")</f>
        <v>-1</v>
      </c>
    </row>
    <row r="6" customFormat="false" ht="15" hidden="false" customHeight="true" outlineLevel="0" collapsed="false">
      <c r="A6" s="27" t="s">
        <v>500</v>
      </c>
      <c r="B6" s="30" t="n">
        <f aca="false">Master!C27</f>
        <v>1.5</v>
      </c>
      <c r="C6" s="33"/>
      <c r="D6" s="27" t="s">
        <v>180</v>
      </c>
      <c r="E6" s="40" t="n">
        <f aca="false">IFERROR((C6-B6)/B6,"")</f>
        <v>-1</v>
      </c>
    </row>
    <row r="7" customFormat="false" ht="15" hidden="false" customHeight="true" outlineLevel="0" collapsed="false">
      <c r="A7" s="27" t="s">
        <v>139</v>
      </c>
      <c r="B7" s="32" t="n">
        <f aca="false">Master!C11</f>
        <v>263.409090909091</v>
      </c>
      <c r="C7" s="34"/>
      <c r="D7" s="27" t="s">
        <v>141</v>
      </c>
      <c r="E7" s="40" t="n">
        <f aca="false">IFERROR((C7-B7)/B7,"")</f>
        <v>-1</v>
      </c>
    </row>
    <row r="8" customFormat="false" ht="15" hidden="false" customHeight="true" outlineLevel="0" collapsed="false">
      <c r="A8" s="27" t="s">
        <v>143</v>
      </c>
      <c r="B8" s="30" t="n">
        <f aca="false">Master!C12</f>
        <v>53.3844390151515</v>
      </c>
      <c r="C8" s="33"/>
      <c r="D8" s="27" t="s">
        <v>145</v>
      </c>
      <c r="E8" s="40" t="n">
        <f aca="false">IFERROR((C8-B8)/B8,"")</f>
        <v>-1</v>
      </c>
    </row>
    <row r="9" customFormat="false" ht="15" hidden="false" customHeight="true" outlineLevel="0" collapsed="false">
      <c r="A9" s="27" t="s">
        <v>510</v>
      </c>
      <c r="B9" s="36"/>
      <c r="C9" s="36"/>
      <c r="D9" s="27" t="s">
        <v>180</v>
      </c>
      <c r="E9" s="40" t="str">
        <f aca="false">IFERROR((C9-B9)/B9,"")</f>
        <v/>
      </c>
    </row>
    <row r="10" customFormat="false" ht="15" hidden="false" customHeight="true" outlineLevel="0" collapsed="false">
      <c r="A10" s="27" t="s">
        <v>511</v>
      </c>
      <c r="B10" s="34"/>
      <c r="C10" s="34"/>
      <c r="D10" s="27" t="s">
        <v>193</v>
      </c>
      <c r="E10" s="40" t="str">
        <f aca="false">IFERROR((C10-B10)/B10,"")</f>
        <v/>
      </c>
    </row>
  </sheetData>
  <mergeCells count="2">
    <mergeCell ref="A1:F1"/>
    <mergeCell ref="A2:F2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40"/>
    <col collapsed="false" customWidth="true" hidden="false" outlineLevel="0" max="3" min="3" style="1" width="12"/>
  </cols>
  <sheetData>
    <row r="1" customFormat="false" ht="25.5" hidden="false" customHeight="true" outlineLevel="0" collapsed="false">
      <c r="A1" s="2" t="s">
        <v>512</v>
      </c>
      <c r="B1" s="2"/>
      <c r="C1" s="2"/>
    </row>
    <row r="2" customFormat="false" ht="15" hidden="false" customHeight="true" outlineLevel="0" collapsed="false">
      <c r="A2" s="3" t="s">
        <v>513</v>
      </c>
      <c r="B2" s="3"/>
      <c r="C2" s="3"/>
    </row>
    <row r="4" customFormat="false" ht="27.75" hidden="false" customHeight="true" outlineLevel="0" collapsed="false">
      <c r="A4" s="26" t="s">
        <v>116</v>
      </c>
      <c r="B4" s="26" t="s">
        <v>267</v>
      </c>
      <c r="C4" s="26" t="s">
        <v>118</v>
      </c>
    </row>
    <row r="5" customFormat="false" ht="15" hidden="false" customHeight="true" outlineLevel="0" collapsed="false">
      <c r="A5" s="27" t="s">
        <v>134</v>
      </c>
      <c r="B5" s="27" t="s">
        <v>514</v>
      </c>
      <c r="C5" s="27" t="s">
        <v>135</v>
      </c>
    </row>
    <row r="6" customFormat="false" ht="15" hidden="false" customHeight="true" outlineLevel="0" collapsed="false">
      <c r="A6" s="27" t="s">
        <v>192</v>
      </c>
      <c r="B6" s="27" t="s">
        <v>191</v>
      </c>
      <c r="C6" s="27" t="s">
        <v>193</v>
      </c>
    </row>
    <row r="7" customFormat="false" ht="15" hidden="false" customHeight="true" outlineLevel="0" collapsed="false">
      <c r="A7" s="27" t="s">
        <v>515</v>
      </c>
      <c r="B7" s="27" t="s">
        <v>139</v>
      </c>
      <c r="C7" s="27" t="s">
        <v>141</v>
      </c>
    </row>
    <row r="8" customFormat="false" ht="15" hidden="false" customHeight="true" outlineLevel="0" collapsed="false">
      <c r="A8" s="27" t="s">
        <v>151</v>
      </c>
      <c r="B8" s="27" t="s">
        <v>150</v>
      </c>
      <c r="C8" s="27" t="s">
        <v>141</v>
      </c>
    </row>
    <row r="9" customFormat="false" ht="15" hidden="false" customHeight="true" outlineLevel="0" collapsed="false">
      <c r="A9" s="27" t="s">
        <v>201</v>
      </c>
      <c r="B9" s="27" t="s">
        <v>516</v>
      </c>
      <c r="C9" s="27" t="s">
        <v>141</v>
      </c>
    </row>
    <row r="10" customFormat="false" ht="15" hidden="false" customHeight="true" outlineLevel="0" collapsed="false">
      <c r="A10" s="27" t="s">
        <v>144</v>
      </c>
      <c r="B10" s="27" t="s">
        <v>517</v>
      </c>
      <c r="C10" s="27" t="s">
        <v>145</v>
      </c>
    </row>
    <row r="11" customFormat="false" ht="15" hidden="false" customHeight="true" outlineLevel="0" collapsed="false">
      <c r="A11" s="27" t="s">
        <v>518</v>
      </c>
      <c r="B11" s="27" t="s">
        <v>519</v>
      </c>
      <c r="C11" s="27" t="s">
        <v>173</v>
      </c>
    </row>
    <row r="12" customFormat="false" ht="15" hidden="false" customHeight="true" outlineLevel="0" collapsed="false">
      <c r="A12" s="27" t="s">
        <v>520</v>
      </c>
      <c r="B12" s="27" t="s">
        <v>521</v>
      </c>
      <c r="C12" s="27" t="s">
        <v>193</v>
      </c>
    </row>
    <row r="13" customFormat="false" ht="15" hidden="false" customHeight="true" outlineLevel="0" collapsed="false">
      <c r="A13" s="27" t="s">
        <v>161</v>
      </c>
      <c r="B13" s="27" t="s">
        <v>522</v>
      </c>
      <c r="C13" s="27" t="s">
        <v>138</v>
      </c>
    </row>
    <row r="14" customFormat="false" ht="15" hidden="false" customHeight="true" outlineLevel="0" collapsed="false">
      <c r="A14" s="27" t="s">
        <v>163</v>
      </c>
      <c r="B14" s="27" t="s">
        <v>162</v>
      </c>
      <c r="C14" s="27" t="s">
        <v>164</v>
      </c>
    </row>
    <row r="15" customFormat="false" ht="15" hidden="false" customHeight="true" outlineLevel="0" collapsed="false">
      <c r="A15" s="27" t="s">
        <v>523</v>
      </c>
      <c r="B15" s="27" t="s">
        <v>524</v>
      </c>
      <c r="C15" s="27" t="s">
        <v>167</v>
      </c>
    </row>
    <row r="16" customFormat="false" ht="15" hidden="false" customHeight="true" outlineLevel="0" collapsed="false">
      <c r="A16" s="27" t="s">
        <v>525</v>
      </c>
      <c r="B16" s="27" t="s">
        <v>526</v>
      </c>
      <c r="C16" s="27" t="s">
        <v>138</v>
      </c>
    </row>
    <row r="17" customFormat="false" ht="15" hidden="false" customHeight="true" outlineLevel="0" collapsed="false">
      <c r="A17" s="27" t="s">
        <v>527</v>
      </c>
      <c r="B17" s="27" t="s">
        <v>528</v>
      </c>
      <c r="C17" s="27" t="s">
        <v>167</v>
      </c>
    </row>
    <row r="18" customFormat="false" ht="15" hidden="false" customHeight="true" outlineLevel="0" collapsed="false">
      <c r="A18" s="27" t="s">
        <v>529</v>
      </c>
      <c r="B18" s="27" t="s">
        <v>530</v>
      </c>
      <c r="C18" s="27" t="s">
        <v>193</v>
      </c>
    </row>
    <row r="19" customFormat="false" ht="15" hidden="false" customHeight="true" outlineLevel="0" collapsed="false">
      <c r="A19" s="27" t="s">
        <v>531</v>
      </c>
      <c r="B19" s="27" t="s">
        <v>532</v>
      </c>
      <c r="C19" s="27" t="s">
        <v>368</v>
      </c>
    </row>
    <row r="20" customFormat="false" ht="15" hidden="false" customHeight="true" outlineLevel="0" collapsed="false">
      <c r="A20" s="27" t="s">
        <v>533</v>
      </c>
      <c r="B20" s="27" t="s">
        <v>510</v>
      </c>
      <c r="C20" s="27" t="s">
        <v>180</v>
      </c>
    </row>
    <row r="21" customFormat="false" ht="15" hidden="false" customHeight="true" outlineLevel="0" collapsed="false">
      <c r="A21" s="27" t="s">
        <v>534</v>
      </c>
      <c r="B21" s="27" t="s">
        <v>535</v>
      </c>
      <c r="C21" s="27" t="s">
        <v>536</v>
      </c>
    </row>
    <row r="22" customFormat="false" ht="15" hidden="false" customHeight="true" outlineLevel="0" collapsed="false">
      <c r="A22" s="27" t="s">
        <v>188</v>
      </c>
      <c r="B22" s="27" t="s">
        <v>537</v>
      </c>
      <c r="C22" s="27" t="s">
        <v>138</v>
      </c>
    </row>
    <row r="23" customFormat="false" ht="15" hidden="false" customHeight="true" outlineLevel="0" collapsed="false">
      <c r="A23" s="27" t="s">
        <v>538</v>
      </c>
      <c r="B23" s="27" t="s">
        <v>539</v>
      </c>
      <c r="C23" s="27" t="s">
        <v>183</v>
      </c>
    </row>
    <row r="24" customFormat="false" ht="15" hidden="false" customHeight="true" outlineLevel="0" collapsed="false">
      <c r="A24" s="27" t="s">
        <v>540</v>
      </c>
      <c r="B24" s="27" t="s">
        <v>541</v>
      </c>
      <c r="C24" s="27" t="s">
        <v>138</v>
      </c>
    </row>
    <row r="25" customFormat="false" ht="15" hidden="false" customHeight="true" outlineLevel="0" collapsed="false">
      <c r="A25" s="27" t="s">
        <v>542</v>
      </c>
      <c r="B25" s="27" t="s">
        <v>543</v>
      </c>
      <c r="C25" s="27" t="s">
        <v>167</v>
      </c>
    </row>
    <row r="26" customFormat="false" ht="15" hidden="false" customHeight="true" outlineLevel="0" collapsed="false">
      <c r="A26" s="27" t="s">
        <v>169</v>
      </c>
      <c r="B26" s="27" t="s">
        <v>168</v>
      </c>
      <c r="C26" s="27" t="s">
        <v>141</v>
      </c>
    </row>
    <row r="27" customFormat="false" ht="15" hidden="false" customHeight="true" outlineLevel="0" collapsed="false">
      <c r="A27" s="27" t="s">
        <v>262</v>
      </c>
      <c r="B27" s="27" t="s">
        <v>261</v>
      </c>
      <c r="C27" s="27" t="s">
        <v>138</v>
      </c>
    </row>
    <row r="28" customFormat="false" ht="15" hidden="false" customHeight="true" outlineLevel="0" collapsed="false">
      <c r="A28" s="27" t="s">
        <v>320</v>
      </c>
      <c r="B28" s="27" t="s">
        <v>544</v>
      </c>
      <c r="C28" s="27" t="s">
        <v>138</v>
      </c>
    </row>
    <row r="29" customFormat="false" ht="15" hidden="false" customHeight="true" outlineLevel="0" collapsed="false">
      <c r="A29" s="27" t="s">
        <v>545</v>
      </c>
      <c r="B29" s="27" t="s">
        <v>546</v>
      </c>
      <c r="C29" s="27" t="s">
        <v>138</v>
      </c>
    </row>
  </sheetData>
  <mergeCells count="2">
    <mergeCell ref="A1:C1"/>
    <mergeCell ref="A2:C2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6"/>
    <col collapsed="false" customWidth="true" hidden="false" outlineLevel="0" max="3" min="3" style="1" width="14"/>
    <col collapsed="false" customWidth="true" hidden="false" outlineLevel="0" max="5" min="4" style="1" width="4"/>
  </cols>
  <sheetData>
    <row r="1" customFormat="false" ht="25.5" hidden="false" customHeight="true" outlineLevel="0" collapsed="false">
      <c r="A1" s="2" t="s">
        <v>547</v>
      </c>
      <c r="B1" s="2"/>
      <c r="C1" s="2"/>
      <c r="D1" s="2"/>
      <c r="E1" s="2"/>
    </row>
    <row r="2" customFormat="false" ht="15" hidden="false" customHeight="true" outlineLevel="0" collapsed="false">
      <c r="A2" s="3" t="s">
        <v>548</v>
      </c>
      <c r="B2" s="3"/>
      <c r="C2" s="3"/>
      <c r="D2" s="3"/>
      <c r="E2" s="3"/>
    </row>
    <row r="4" customFormat="false" ht="27.75" hidden="false" customHeight="true" outlineLevel="0" collapsed="false">
      <c r="A4" s="26" t="s">
        <v>549</v>
      </c>
      <c r="B4" s="26" t="s">
        <v>550</v>
      </c>
      <c r="C4" s="26" t="s">
        <v>551</v>
      </c>
      <c r="D4" s="26"/>
      <c r="E4" s="26"/>
    </row>
    <row r="5" customFormat="false" ht="15" hidden="false" customHeight="true" outlineLevel="0" collapsed="false">
      <c r="A5" s="27" t="s">
        <v>141</v>
      </c>
      <c r="B5" s="27" t="s">
        <v>552</v>
      </c>
      <c r="C5" s="48" t="n">
        <v>0.03937</v>
      </c>
    </row>
    <row r="6" customFormat="false" ht="15" hidden="false" customHeight="true" outlineLevel="0" collapsed="false">
      <c r="A6" s="27" t="s">
        <v>135</v>
      </c>
      <c r="B6" s="27" t="s">
        <v>553</v>
      </c>
      <c r="C6" s="48" t="n">
        <v>2.20462</v>
      </c>
    </row>
    <row r="7" customFormat="false" ht="15" hidden="false" customHeight="true" outlineLevel="0" collapsed="false">
      <c r="A7" s="27" t="s">
        <v>193</v>
      </c>
      <c r="B7" s="27" t="s">
        <v>554</v>
      </c>
      <c r="C7" s="48" t="n">
        <v>0.101972</v>
      </c>
    </row>
    <row r="8" customFormat="false" ht="15" hidden="false" customHeight="true" outlineLevel="0" collapsed="false">
      <c r="A8" s="27" t="s">
        <v>255</v>
      </c>
      <c r="B8" s="27" t="s">
        <v>555</v>
      </c>
      <c r="C8" s="48" t="n">
        <v>0.145038</v>
      </c>
    </row>
    <row r="9" customFormat="false" ht="15" hidden="false" customHeight="true" outlineLevel="0" collapsed="false">
      <c r="A9" s="27" t="s">
        <v>368</v>
      </c>
      <c r="B9" s="27" t="s">
        <v>556</v>
      </c>
      <c r="C9" s="48" t="n">
        <v>0.737562</v>
      </c>
    </row>
    <row r="10" customFormat="false" ht="15" hidden="false" customHeight="true" outlineLevel="0" collapsed="false">
      <c r="A10" s="27" t="s">
        <v>557</v>
      </c>
      <c r="B10" s="27" t="s">
        <v>341</v>
      </c>
      <c r="C10" s="48" t="n">
        <v>0.277778</v>
      </c>
    </row>
    <row r="11" customFormat="false" ht="15" hidden="false" customHeight="true" outlineLevel="0" collapsed="false">
      <c r="A11" s="27" t="s">
        <v>167</v>
      </c>
      <c r="B11" s="27" t="s">
        <v>558</v>
      </c>
      <c r="C11" s="48" t="n">
        <v>0.017453</v>
      </c>
    </row>
    <row r="12" customFormat="false" ht="15" hidden="false" customHeight="true" outlineLevel="0" collapsed="false">
      <c r="A12" s="27" t="s">
        <v>559</v>
      </c>
      <c r="B12" s="27" t="s">
        <v>338</v>
      </c>
      <c r="C12" s="48" t="n">
        <v>0.7457</v>
      </c>
    </row>
    <row r="14" customFormat="false" ht="18" hidden="false" customHeight="true" outlineLevel="0" collapsed="false">
      <c r="A14" s="4" t="s">
        <v>560</v>
      </c>
      <c r="B14" s="4"/>
      <c r="C14" s="4"/>
      <c r="D14" s="4"/>
      <c r="E14" s="4"/>
      <c r="F14" s="4"/>
      <c r="G14" s="4"/>
      <c r="H14" s="4"/>
      <c r="I14" s="4"/>
    </row>
    <row r="15" customFormat="false" ht="15" hidden="false" customHeight="true" outlineLevel="0" collapsed="false">
      <c r="A15" s="27" t="s">
        <v>117</v>
      </c>
      <c r="B15" s="45" t="n">
        <v>100</v>
      </c>
    </row>
    <row r="16" customFormat="false" ht="15" hidden="false" customHeight="true" outlineLevel="0" collapsed="false">
      <c r="A16" s="27" t="s">
        <v>561</v>
      </c>
      <c r="B16" s="49" t="n">
        <v>2.20462</v>
      </c>
    </row>
    <row r="17" customFormat="false" ht="15" hidden="false" customHeight="true" outlineLevel="0" collapsed="false">
      <c r="A17" s="46" t="s">
        <v>562</v>
      </c>
      <c r="B17" s="50" t="n">
        <f aca="false">B15*B16</f>
        <v>220.462</v>
      </c>
    </row>
  </sheetData>
  <mergeCells count="3">
    <mergeCell ref="A1:E1"/>
    <mergeCell ref="A2:E2"/>
    <mergeCell ref="A14:I14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5" min="2" style="1" width="13"/>
  </cols>
  <sheetData>
    <row r="1" customFormat="false" ht="25.5" hidden="false" customHeight="true" outlineLevel="0" collapsed="false">
      <c r="A1" s="2" t="s">
        <v>563</v>
      </c>
      <c r="B1" s="2"/>
      <c r="C1" s="2"/>
      <c r="D1" s="2"/>
      <c r="E1" s="2"/>
    </row>
    <row r="2" customFormat="false" ht="15" hidden="false" customHeight="true" outlineLevel="0" collapsed="false">
      <c r="A2" s="3" t="s">
        <v>564</v>
      </c>
      <c r="B2" s="3"/>
      <c r="C2" s="3"/>
      <c r="D2" s="3"/>
      <c r="E2" s="3"/>
    </row>
    <row r="4" customFormat="false" ht="27.75" hidden="false" customHeight="true" outlineLevel="0" collapsed="false">
      <c r="A4" s="26" t="s">
        <v>115</v>
      </c>
      <c r="B4" s="26" t="s">
        <v>565</v>
      </c>
      <c r="C4" s="26" t="s">
        <v>566</v>
      </c>
      <c r="D4" s="26" t="s">
        <v>567</v>
      </c>
      <c r="E4" s="26" t="s">
        <v>568</v>
      </c>
    </row>
    <row r="5" customFormat="false" ht="15" hidden="false" customHeight="true" outlineLevel="0" collapsed="false">
      <c r="A5" s="27" t="s">
        <v>569</v>
      </c>
      <c r="B5" s="33" t="n">
        <v>69</v>
      </c>
      <c r="C5" s="33" t="n">
        <v>69</v>
      </c>
      <c r="D5" s="33" t="n">
        <v>69</v>
      </c>
      <c r="E5" s="33" t="n">
        <v>69</v>
      </c>
    </row>
    <row r="6" customFormat="false" ht="15" hidden="false" customHeight="true" outlineLevel="0" collapsed="false">
      <c r="A6" s="27" t="s">
        <v>570</v>
      </c>
      <c r="B6" s="33"/>
      <c r="C6" s="33"/>
      <c r="D6" s="33"/>
      <c r="E6" s="33"/>
    </row>
    <row r="7" customFormat="false" ht="15" hidden="false" customHeight="true" outlineLevel="0" collapsed="false">
      <c r="A7" s="27" t="s">
        <v>571</v>
      </c>
      <c r="B7" s="33" t="n">
        <v>-2</v>
      </c>
      <c r="C7" s="33" t="n">
        <v>-2</v>
      </c>
      <c r="D7" s="33" t="n">
        <v>-1.5</v>
      </c>
      <c r="E7" s="33" t="n">
        <v>-1.5</v>
      </c>
    </row>
    <row r="8" customFormat="false" ht="15" hidden="false" customHeight="true" outlineLevel="0" collapsed="false">
      <c r="A8" s="27" t="s">
        <v>572</v>
      </c>
      <c r="B8" s="33"/>
      <c r="C8" s="33"/>
      <c r="D8" s="33"/>
      <c r="E8" s="33"/>
    </row>
    <row r="9" customFormat="false" ht="15" hidden="false" customHeight="true" outlineLevel="0" collapsed="false">
      <c r="A9" s="27" t="s">
        <v>573</v>
      </c>
      <c r="B9" s="33"/>
      <c r="C9" s="33"/>
      <c r="D9" s="33"/>
      <c r="E9" s="33"/>
    </row>
    <row r="10" customFormat="false" ht="15" hidden="false" customHeight="true" outlineLevel="0" collapsed="false">
      <c r="A10" s="27" t="s">
        <v>574</v>
      </c>
      <c r="B10" s="33" t="n">
        <v>40</v>
      </c>
      <c r="C10" s="33" t="n">
        <v>40</v>
      </c>
      <c r="D10" s="33" t="n">
        <v>45</v>
      </c>
      <c r="E10" s="33" t="n">
        <v>45</v>
      </c>
    </row>
    <row r="11" customFormat="false" ht="15" hidden="false" customHeight="true" outlineLevel="0" collapsed="false">
      <c r="A11" s="27" t="s">
        <v>98</v>
      </c>
      <c r="B11" s="33" t="n">
        <v>40</v>
      </c>
      <c r="C11" s="33" t="n">
        <v>40</v>
      </c>
      <c r="D11" s="33" t="n">
        <v>40</v>
      </c>
      <c r="E11" s="33" t="n">
        <v>40</v>
      </c>
    </row>
    <row r="12" customFormat="false" ht="15" hidden="false" customHeight="true" outlineLevel="0" collapsed="false">
      <c r="A12" s="27" t="s">
        <v>575</v>
      </c>
      <c r="B12" s="33"/>
      <c r="C12" s="33"/>
      <c r="D12" s="33"/>
      <c r="E12" s="33"/>
    </row>
    <row r="13" customFormat="false" ht="15" hidden="false" customHeight="true" outlineLevel="0" collapsed="false">
      <c r="A13" s="27" t="s">
        <v>576</v>
      </c>
      <c r="B13" s="33"/>
      <c r="C13" s="33"/>
      <c r="D13" s="33"/>
      <c r="E13" s="33"/>
    </row>
    <row r="14" customFormat="false" ht="15" hidden="false" customHeight="true" outlineLevel="0" collapsed="false">
      <c r="A14" s="27" t="s">
        <v>577</v>
      </c>
      <c r="B14" s="33"/>
      <c r="C14" s="33"/>
      <c r="D14" s="33"/>
      <c r="E14" s="33"/>
    </row>
    <row r="15" customFormat="false" ht="15" hidden="false" customHeight="true" outlineLevel="0" collapsed="false">
      <c r="A15" s="27" t="s">
        <v>578</v>
      </c>
      <c r="B15" s="33"/>
      <c r="C15" s="33"/>
      <c r="D15" s="33"/>
      <c r="E15" s="33"/>
    </row>
    <row r="17" customFormat="false" ht="15" hidden="false" customHeight="true" outlineLevel="0" collapsed="false">
      <c r="A17" s="27" t="s">
        <v>579</v>
      </c>
      <c r="B17" s="51"/>
      <c r="C17" s="51"/>
      <c r="D17" s="51"/>
      <c r="E17" s="51"/>
    </row>
    <row r="18" customFormat="false" ht="15" hidden="false" customHeight="true" outlineLevel="0" collapsed="false">
      <c r="A18" s="27" t="s">
        <v>516</v>
      </c>
      <c r="B18" s="51"/>
      <c r="C18" s="51"/>
      <c r="D18" s="51"/>
      <c r="E18" s="51"/>
    </row>
    <row r="19" customFormat="false" ht="15" hidden="false" customHeight="true" outlineLevel="0" collapsed="false">
      <c r="A19" s="27" t="s">
        <v>580</v>
      </c>
      <c r="B19" s="51"/>
      <c r="C19" s="51"/>
      <c r="D19" s="51"/>
      <c r="E19" s="51"/>
    </row>
    <row r="20" customFormat="false" ht="15" hidden="false" customHeight="true" outlineLevel="0" collapsed="false">
      <c r="A20" s="27" t="s">
        <v>581</v>
      </c>
      <c r="B20" s="51"/>
      <c r="C20" s="51"/>
      <c r="D20" s="51"/>
      <c r="E20" s="51"/>
    </row>
    <row r="21" customFormat="false" ht="15" hidden="false" customHeight="true" outlineLevel="0" collapsed="false">
      <c r="A21" s="27" t="s">
        <v>582</v>
      </c>
      <c r="B21" s="51"/>
      <c r="C21" s="51"/>
      <c r="D21" s="51"/>
      <c r="E21" s="51"/>
    </row>
    <row r="22" customFormat="false" ht="15" hidden="false" customHeight="true" outlineLevel="0" collapsed="false">
      <c r="A22" s="27" t="s">
        <v>583</v>
      </c>
      <c r="B22" s="51"/>
      <c r="C22" s="51"/>
      <c r="D22" s="51"/>
      <c r="E22" s="51"/>
    </row>
    <row r="23" customFormat="false" ht="15" hidden="false" customHeight="true" outlineLevel="0" collapsed="false">
      <c r="A23" s="27" t="s">
        <v>584</v>
      </c>
      <c r="B23" s="51"/>
      <c r="C23" s="51"/>
      <c r="D23" s="51"/>
      <c r="E23" s="51"/>
    </row>
    <row r="24" customFormat="false" ht="15" hidden="false" customHeight="true" outlineLevel="0" collapsed="false">
      <c r="A24" s="27" t="s">
        <v>585</v>
      </c>
      <c r="B24" s="51"/>
      <c r="C24" s="51"/>
      <c r="D24" s="51"/>
      <c r="E24" s="51"/>
    </row>
  </sheetData>
  <mergeCells count="10">
    <mergeCell ref="A1:E1"/>
    <mergeCell ref="A2:E2"/>
    <mergeCell ref="B17:E17"/>
    <mergeCell ref="B18:E18"/>
    <mergeCell ref="B19:E19"/>
    <mergeCell ref="B20:E20"/>
    <mergeCell ref="B21:E21"/>
    <mergeCell ref="B22:E22"/>
    <mergeCell ref="B23:E23"/>
    <mergeCell ref="B24:E24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12"/>
    <col collapsed="false" customWidth="true" hidden="false" outlineLevel="0" max="3" min="3" style="1" width="16"/>
    <col collapsed="false" customWidth="true" hidden="false" outlineLevel="0" max="4" min="4" style="1" width="24"/>
    <col collapsed="false" customWidth="true" hidden="false" outlineLevel="0" max="5" min="5" style="1" width="28"/>
    <col collapsed="false" customWidth="true" hidden="false" outlineLevel="0" max="6" min="6" style="1" width="26"/>
  </cols>
  <sheetData>
    <row r="1" customFormat="false" ht="25.5" hidden="false" customHeight="true" outlineLevel="0" collapsed="false">
      <c r="A1" s="2" t="s">
        <v>586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3" t="s">
        <v>587</v>
      </c>
      <c r="B2" s="3"/>
      <c r="C2" s="3"/>
      <c r="D2" s="3"/>
      <c r="E2" s="3"/>
      <c r="F2" s="3"/>
    </row>
    <row r="4" customFormat="false" ht="27.75" hidden="false" customHeight="true" outlineLevel="0" collapsed="false">
      <c r="A4" s="26" t="s">
        <v>588</v>
      </c>
      <c r="B4" s="26" t="s">
        <v>579</v>
      </c>
      <c r="C4" s="26" t="s">
        <v>589</v>
      </c>
      <c r="D4" s="26" t="s">
        <v>590</v>
      </c>
      <c r="E4" s="26" t="s">
        <v>591</v>
      </c>
      <c r="F4" s="26" t="s">
        <v>592</v>
      </c>
    </row>
    <row r="5" customFormat="false" ht="15" hidden="false" customHeight="true" outlineLevel="0" collapsed="false">
      <c r="A5" s="28" t="n">
        <v>1</v>
      </c>
      <c r="B5" s="28" t="s">
        <v>593</v>
      </c>
      <c r="C5" s="28" t="s">
        <v>594</v>
      </c>
      <c r="D5" s="28" t="s">
        <v>258</v>
      </c>
      <c r="E5" s="28" t="s">
        <v>595</v>
      </c>
      <c r="F5" s="28" t="s">
        <v>596</v>
      </c>
    </row>
    <row r="6" customFormat="false" ht="15" hidden="false" customHeight="true" outlineLevel="0" collapsed="false">
      <c r="A6" s="28"/>
      <c r="B6" s="28"/>
      <c r="C6" s="28"/>
      <c r="D6" s="28"/>
      <c r="E6" s="28"/>
      <c r="F6" s="28"/>
    </row>
    <row r="7" customFormat="false" ht="15" hidden="false" customHeight="true" outlineLevel="0" collapsed="false">
      <c r="A7" s="28"/>
      <c r="B7" s="28"/>
      <c r="C7" s="28"/>
      <c r="D7" s="28"/>
      <c r="E7" s="28"/>
      <c r="F7" s="28"/>
    </row>
    <row r="8" customFormat="false" ht="15" hidden="false" customHeight="true" outlineLevel="0" collapsed="false">
      <c r="A8" s="28"/>
      <c r="B8" s="28"/>
      <c r="C8" s="28"/>
      <c r="D8" s="28"/>
      <c r="E8" s="28"/>
      <c r="F8" s="28"/>
    </row>
    <row r="9" customFormat="false" ht="15" hidden="false" customHeight="true" outlineLevel="0" collapsed="false">
      <c r="A9" s="28"/>
      <c r="B9" s="28"/>
      <c r="C9" s="28"/>
      <c r="D9" s="28"/>
      <c r="E9" s="28"/>
      <c r="F9" s="28"/>
    </row>
    <row r="10" customFormat="false" ht="15" hidden="false" customHeight="true" outlineLevel="0" collapsed="false">
      <c r="A10" s="28"/>
      <c r="B10" s="28"/>
      <c r="C10" s="28"/>
      <c r="D10" s="28"/>
      <c r="E10" s="28"/>
      <c r="F10" s="28"/>
    </row>
    <row r="11" customFormat="false" ht="15" hidden="false" customHeight="true" outlineLevel="0" collapsed="false">
      <c r="A11" s="28"/>
      <c r="B11" s="28"/>
      <c r="C11" s="28"/>
      <c r="D11" s="28"/>
      <c r="E11" s="28"/>
      <c r="F11" s="28"/>
    </row>
    <row r="12" customFormat="false" ht="15" hidden="false" customHeight="true" outlineLevel="0" collapsed="false">
      <c r="A12" s="28"/>
      <c r="B12" s="28"/>
      <c r="C12" s="28"/>
      <c r="D12" s="28"/>
      <c r="E12" s="28"/>
      <c r="F12" s="28"/>
    </row>
    <row r="13" customFormat="false" ht="15" hidden="false" customHeight="true" outlineLevel="0" collapsed="false">
      <c r="A13" s="28"/>
      <c r="B13" s="28"/>
      <c r="C13" s="28"/>
      <c r="D13" s="28"/>
      <c r="E13" s="28"/>
      <c r="F13" s="28"/>
    </row>
    <row r="14" customFormat="false" ht="15" hidden="false" customHeight="true" outlineLevel="0" collapsed="false">
      <c r="A14" s="28"/>
      <c r="B14" s="28"/>
      <c r="C14" s="28"/>
      <c r="D14" s="28"/>
      <c r="E14" s="28"/>
      <c r="F14" s="28"/>
    </row>
    <row r="15" customFormat="false" ht="15" hidden="false" customHeight="true" outlineLevel="0" collapsed="false">
      <c r="A15" s="28"/>
      <c r="B15" s="28"/>
      <c r="C15" s="28"/>
      <c r="D15" s="28"/>
      <c r="E15" s="28"/>
      <c r="F15" s="28"/>
    </row>
    <row r="16" customFormat="false" ht="15" hidden="false" customHeight="true" outlineLevel="0" collapsed="false">
      <c r="A16" s="28"/>
      <c r="B16" s="28"/>
      <c r="C16" s="28"/>
      <c r="D16" s="28"/>
      <c r="E16" s="28"/>
      <c r="F16" s="28"/>
    </row>
    <row r="17" customFormat="false" ht="15" hidden="false" customHeight="true" outlineLevel="0" collapsed="false">
      <c r="A17" s="28"/>
      <c r="B17" s="28"/>
      <c r="C17" s="28"/>
      <c r="D17" s="28"/>
      <c r="E17" s="28"/>
      <c r="F17" s="28"/>
    </row>
    <row r="18" customFormat="false" ht="15" hidden="false" customHeight="true" outlineLevel="0" collapsed="false">
      <c r="A18" s="28"/>
      <c r="B18" s="28"/>
      <c r="C18" s="28"/>
      <c r="D18" s="28"/>
      <c r="E18" s="28"/>
      <c r="F18" s="28"/>
    </row>
    <row r="19" customFormat="false" ht="15" hidden="false" customHeight="true" outlineLevel="0" collapsed="false">
      <c r="A19" s="28"/>
      <c r="B19" s="28"/>
      <c r="C19" s="28"/>
      <c r="D19" s="28"/>
      <c r="E19" s="28"/>
      <c r="F19" s="28"/>
    </row>
    <row r="20" customFormat="false" ht="15" hidden="false" customHeight="true" outlineLevel="0" collapsed="false">
      <c r="A20" s="28"/>
      <c r="B20" s="28"/>
      <c r="C20" s="28"/>
      <c r="D20" s="28"/>
      <c r="E20" s="28"/>
      <c r="F20" s="28"/>
    </row>
    <row r="21" customFormat="false" ht="15" hidden="false" customHeight="true" outlineLevel="0" collapsed="false">
      <c r="A21" s="28"/>
      <c r="B21" s="28"/>
      <c r="C21" s="28"/>
      <c r="D21" s="28"/>
      <c r="E21" s="28"/>
      <c r="F21" s="28"/>
    </row>
    <row r="22" customFormat="false" ht="15" hidden="false" customHeight="true" outlineLevel="0" collapsed="false">
      <c r="A22" s="28"/>
      <c r="B22" s="28"/>
      <c r="C22" s="28"/>
      <c r="D22" s="28"/>
      <c r="E22" s="28"/>
      <c r="F22" s="28"/>
    </row>
    <row r="23" customFormat="false" ht="15" hidden="false" customHeight="true" outlineLevel="0" collapsed="false">
      <c r="A23" s="28"/>
      <c r="B23" s="28"/>
      <c r="C23" s="28"/>
      <c r="D23" s="28"/>
      <c r="E23" s="28"/>
      <c r="F23" s="28"/>
    </row>
    <row r="24" customFormat="false" ht="15" hidden="false" customHeight="true" outlineLevel="0" collapsed="false">
      <c r="A24" s="28"/>
      <c r="B24" s="28"/>
      <c r="C24" s="28"/>
      <c r="D24" s="28"/>
      <c r="E24" s="28"/>
      <c r="F24" s="28"/>
    </row>
    <row r="25" customFormat="false" ht="15" hidden="false" customHeight="true" outlineLevel="0" collapsed="false">
      <c r="A25" s="28"/>
      <c r="B25" s="28"/>
      <c r="C25" s="28"/>
      <c r="D25" s="28"/>
      <c r="E25" s="28"/>
      <c r="F25" s="28"/>
    </row>
  </sheetData>
  <mergeCells count="2">
    <mergeCell ref="A1:F1"/>
    <mergeCell ref="A2:F2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6"/>
    <col collapsed="false" customWidth="true" hidden="false" outlineLevel="0" max="3" min="3" style="1" width="14"/>
    <col collapsed="false" customWidth="true" hidden="false" outlineLevel="0" max="4" min="4" style="1" width="10"/>
    <col collapsed="false" customWidth="true" hidden="false" outlineLevel="0" max="5" min="5" style="1" width="11"/>
    <col collapsed="false" customWidth="true" hidden="false" outlineLevel="0" max="6" min="6" style="1" width="12"/>
    <col collapsed="false" customWidth="true" hidden="false" outlineLevel="0" max="7" min="7" style="1" width="11"/>
    <col collapsed="false" customWidth="true" hidden="false" outlineLevel="0" max="8" min="8" style="1" width="8"/>
  </cols>
  <sheetData>
    <row r="1" customFormat="false" ht="25.5" hidden="false" customHeight="true" outlineLevel="0" collapsed="false">
      <c r="A1" s="2" t="s">
        <v>597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598</v>
      </c>
      <c r="B2" s="3"/>
      <c r="C2" s="3"/>
      <c r="D2" s="3"/>
      <c r="E2" s="3"/>
      <c r="F2" s="3"/>
      <c r="G2" s="3"/>
      <c r="H2" s="3"/>
    </row>
    <row r="4" customFormat="false" ht="27.75" hidden="false" customHeight="true" outlineLevel="0" collapsed="false">
      <c r="A4" s="26" t="s">
        <v>457</v>
      </c>
      <c r="B4" s="26" t="s">
        <v>599</v>
      </c>
      <c r="C4" s="26" t="s">
        <v>224</v>
      </c>
      <c r="D4" s="26" t="s">
        <v>600</v>
      </c>
      <c r="E4" s="26" t="s">
        <v>601</v>
      </c>
      <c r="F4" s="26" t="s">
        <v>602</v>
      </c>
      <c r="G4" s="26" t="s">
        <v>209</v>
      </c>
      <c r="H4" s="26" t="s">
        <v>121</v>
      </c>
    </row>
    <row r="5" customFormat="false" ht="15" hidden="false" customHeight="true" outlineLevel="0" collapsed="false">
      <c r="A5" s="28" t="s">
        <v>603</v>
      </c>
      <c r="B5" s="28" t="s">
        <v>604</v>
      </c>
      <c r="C5" s="28" t="s">
        <v>126</v>
      </c>
      <c r="D5" s="28" t="s">
        <v>126</v>
      </c>
      <c r="E5" s="28" t="s">
        <v>605</v>
      </c>
      <c r="F5" s="28" t="s">
        <v>606</v>
      </c>
      <c r="G5" s="28" t="s">
        <v>607</v>
      </c>
      <c r="H5" s="28" t="s">
        <v>128</v>
      </c>
    </row>
    <row r="6" customFormat="false" ht="15" hidden="false" customHeight="true" outlineLevel="0" collapsed="false">
      <c r="A6" s="28"/>
      <c r="B6" s="28"/>
      <c r="C6" s="28"/>
      <c r="D6" s="28"/>
      <c r="E6" s="28"/>
      <c r="F6" s="28"/>
      <c r="G6" s="28"/>
      <c r="H6" s="28"/>
    </row>
    <row r="7" customFormat="false" ht="15" hidden="false" customHeight="true" outlineLevel="0" collapsed="false">
      <c r="A7" s="28"/>
      <c r="B7" s="28"/>
      <c r="C7" s="28"/>
      <c r="D7" s="28"/>
      <c r="E7" s="28"/>
      <c r="F7" s="28"/>
      <c r="G7" s="28"/>
      <c r="H7" s="28"/>
    </row>
    <row r="8" customFormat="false" ht="15" hidden="false" customHeight="true" outlineLevel="0" collapsed="false">
      <c r="A8" s="28"/>
      <c r="B8" s="28"/>
      <c r="C8" s="28"/>
      <c r="D8" s="28"/>
      <c r="E8" s="28"/>
      <c r="F8" s="28"/>
      <c r="G8" s="28"/>
      <c r="H8" s="28"/>
    </row>
    <row r="9" customFormat="false" ht="15" hidden="false" customHeight="true" outlineLevel="0" collapsed="false">
      <c r="A9" s="28"/>
      <c r="B9" s="28"/>
      <c r="C9" s="28"/>
      <c r="D9" s="28"/>
      <c r="E9" s="28"/>
      <c r="F9" s="28"/>
      <c r="G9" s="28"/>
      <c r="H9" s="28"/>
    </row>
    <row r="10" customFormat="false" ht="15" hidden="false" customHeight="true" outlineLevel="0" collapsed="false">
      <c r="A10" s="28"/>
      <c r="B10" s="28"/>
      <c r="C10" s="28"/>
      <c r="D10" s="28"/>
      <c r="E10" s="28"/>
      <c r="F10" s="28"/>
      <c r="G10" s="28"/>
      <c r="H10" s="28"/>
    </row>
    <row r="11" customFormat="false" ht="15" hidden="false" customHeight="true" outlineLevel="0" collapsed="false">
      <c r="A11" s="28"/>
      <c r="B11" s="28"/>
      <c r="C11" s="28"/>
      <c r="D11" s="28"/>
      <c r="E11" s="28"/>
      <c r="F11" s="28"/>
      <c r="G11" s="28"/>
      <c r="H11" s="28"/>
    </row>
    <row r="12" customFormat="false" ht="15" hidden="false" customHeight="true" outlineLevel="0" collapsed="false">
      <c r="A12" s="28"/>
      <c r="B12" s="28"/>
      <c r="C12" s="28"/>
      <c r="D12" s="28"/>
      <c r="E12" s="28"/>
      <c r="F12" s="28"/>
      <c r="G12" s="28"/>
      <c r="H12" s="28"/>
    </row>
    <row r="13" customFormat="false" ht="15" hidden="false" customHeight="true" outlineLevel="0" collapsed="false">
      <c r="A13" s="28"/>
      <c r="B13" s="28"/>
      <c r="C13" s="28"/>
      <c r="D13" s="28"/>
      <c r="E13" s="28"/>
      <c r="F13" s="28"/>
      <c r="G13" s="28"/>
      <c r="H13" s="28"/>
    </row>
    <row r="14" customFormat="false" ht="15" hidden="false" customHeight="true" outlineLevel="0" collapsed="false">
      <c r="A14" s="28"/>
      <c r="B14" s="28"/>
      <c r="C14" s="28"/>
      <c r="D14" s="28"/>
      <c r="E14" s="28"/>
      <c r="F14" s="28"/>
      <c r="G14" s="28"/>
      <c r="H14" s="28"/>
    </row>
    <row r="15" customFormat="false" ht="15" hidden="false" customHeight="true" outlineLevel="0" collapsed="false">
      <c r="A15" s="28"/>
      <c r="B15" s="28"/>
      <c r="C15" s="28"/>
      <c r="D15" s="28"/>
      <c r="E15" s="28"/>
      <c r="F15" s="28"/>
      <c r="G15" s="28"/>
      <c r="H15" s="28"/>
    </row>
    <row r="16" customFormat="false" ht="15" hidden="false" customHeight="true" outlineLevel="0" collapsed="false">
      <c r="A16" s="28"/>
      <c r="B16" s="28"/>
      <c r="C16" s="28"/>
      <c r="D16" s="28"/>
      <c r="E16" s="28"/>
      <c r="F16" s="28"/>
      <c r="G16" s="28"/>
      <c r="H16" s="28"/>
    </row>
    <row r="17" customFormat="false" ht="15" hidden="false" customHeight="true" outlineLevel="0" collapsed="false">
      <c r="A17" s="28"/>
      <c r="B17" s="28"/>
      <c r="C17" s="28"/>
      <c r="D17" s="28"/>
      <c r="E17" s="28"/>
      <c r="F17" s="28"/>
      <c r="G17" s="28"/>
      <c r="H17" s="28"/>
    </row>
    <row r="18" customFormat="false" ht="15" hidden="false" customHeight="true" outlineLevel="0" collapsed="false">
      <c r="A18" s="28"/>
      <c r="B18" s="28"/>
      <c r="C18" s="28"/>
      <c r="D18" s="28"/>
      <c r="E18" s="28"/>
      <c r="F18" s="28"/>
      <c r="G18" s="28"/>
      <c r="H18" s="28"/>
    </row>
    <row r="19" customFormat="false" ht="15" hidden="false" customHeight="true" outlineLevel="0" collapsed="false">
      <c r="A19" s="28"/>
      <c r="B19" s="28"/>
      <c r="C19" s="28"/>
      <c r="D19" s="28"/>
      <c r="E19" s="28"/>
      <c r="F19" s="28"/>
      <c r="G19" s="28"/>
      <c r="H19" s="28"/>
    </row>
    <row r="20" customFormat="false" ht="15" hidden="false" customHeight="true" outlineLevel="0" collapsed="false">
      <c r="A20" s="28"/>
      <c r="B20" s="28"/>
      <c r="C20" s="28"/>
      <c r="D20" s="28"/>
      <c r="E20" s="28"/>
      <c r="F20" s="28"/>
      <c r="G20" s="28"/>
      <c r="H20" s="28"/>
    </row>
    <row r="21" customFormat="false" ht="15" hidden="false" customHeight="true" outlineLevel="0" collapsed="false">
      <c r="A21" s="28"/>
      <c r="B21" s="28"/>
      <c r="C21" s="28"/>
      <c r="D21" s="28"/>
      <c r="E21" s="28"/>
      <c r="F21" s="28"/>
      <c r="G21" s="28"/>
      <c r="H21" s="28"/>
    </row>
    <row r="22" customFormat="false" ht="15" hidden="false" customHeight="true" outlineLevel="0" collapsed="false">
      <c r="A22" s="28"/>
      <c r="B22" s="28"/>
      <c r="C22" s="28"/>
      <c r="D22" s="28"/>
      <c r="E22" s="28"/>
      <c r="F22" s="28"/>
      <c r="G22" s="28"/>
      <c r="H22" s="28"/>
    </row>
    <row r="23" customFormat="false" ht="15" hidden="false" customHeight="true" outlineLevel="0" collapsed="false">
      <c r="A23" s="28"/>
      <c r="B23" s="28"/>
      <c r="C23" s="28"/>
      <c r="D23" s="28"/>
      <c r="E23" s="28"/>
      <c r="F23" s="28"/>
      <c r="G23" s="28"/>
      <c r="H23" s="28"/>
    </row>
    <row r="24" customFormat="false" ht="15" hidden="false" customHeight="true" outlineLevel="0" collapsed="false">
      <c r="A24" s="28"/>
      <c r="B24" s="28"/>
      <c r="C24" s="28"/>
      <c r="D24" s="28"/>
      <c r="E24" s="28"/>
      <c r="F24" s="28"/>
      <c r="G24" s="28"/>
      <c r="H24" s="28"/>
    </row>
    <row r="25" customFormat="false" ht="15" hidden="false" customHeight="true" outlineLevel="0" collapsed="false">
      <c r="A25" s="28"/>
      <c r="B25" s="28"/>
      <c r="C25" s="28"/>
      <c r="D25" s="28"/>
      <c r="E25" s="28"/>
      <c r="F25" s="28"/>
      <c r="G25" s="28"/>
      <c r="H25" s="28"/>
    </row>
  </sheetData>
  <mergeCells count="2">
    <mergeCell ref="A1:H1"/>
    <mergeCell ref="A2:H2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66"/>
    <col collapsed="false" customWidth="true" hidden="false" outlineLevel="0" max="3" min="3" style="1" width="12"/>
    <col collapsed="false" customWidth="true" hidden="false" outlineLevel="0" max="4" min="4" style="1" width="16"/>
  </cols>
  <sheetData>
    <row r="1" customFormat="false" ht="25.5" hidden="false" customHeight="true" outlineLevel="0" collapsed="false">
      <c r="A1" s="2" t="s">
        <v>608</v>
      </c>
      <c r="B1" s="2"/>
      <c r="C1" s="2"/>
      <c r="D1" s="2"/>
    </row>
    <row r="2" customFormat="false" ht="15" hidden="false" customHeight="true" outlineLevel="0" collapsed="false">
      <c r="A2" s="3" t="s">
        <v>609</v>
      </c>
      <c r="B2" s="3"/>
      <c r="C2" s="3"/>
      <c r="D2" s="3"/>
    </row>
    <row r="4" customFormat="false" ht="27.75" hidden="false" customHeight="true" outlineLevel="0" collapsed="false">
      <c r="A4" s="26" t="s">
        <v>610</v>
      </c>
      <c r="B4" s="26" t="s">
        <v>611</v>
      </c>
      <c r="C4" s="26" t="s">
        <v>209</v>
      </c>
      <c r="D4" s="26" t="s">
        <v>612</v>
      </c>
    </row>
    <row r="5" customFormat="false" ht="15" hidden="false" customHeight="true" outlineLevel="0" collapsed="false">
      <c r="A5" s="27" t="s">
        <v>613</v>
      </c>
      <c r="B5" s="29" t="s">
        <v>614</v>
      </c>
      <c r="C5" s="28"/>
      <c r="D5" s="28"/>
    </row>
    <row r="6" customFormat="false" ht="15" hidden="false" customHeight="true" outlineLevel="0" collapsed="false">
      <c r="A6" s="27" t="s">
        <v>615</v>
      </c>
      <c r="B6" s="29" t="s">
        <v>616</v>
      </c>
      <c r="C6" s="28"/>
      <c r="D6" s="28"/>
    </row>
    <row r="7" customFormat="false" ht="15" hidden="false" customHeight="true" outlineLevel="0" collapsed="false">
      <c r="A7" s="27" t="s">
        <v>617</v>
      </c>
      <c r="B7" s="29" t="s">
        <v>618</v>
      </c>
      <c r="C7" s="28"/>
      <c r="D7" s="28"/>
    </row>
    <row r="8" customFormat="false" ht="15" hidden="false" customHeight="true" outlineLevel="0" collapsed="false">
      <c r="A8" s="27" t="s">
        <v>619</v>
      </c>
      <c r="B8" s="29" t="s">
        <v>620</v>
      </c>
      <c r="C8" s="28"/>
      <c r="D8" s="28"/>
    </row>
    <row r="9" customFormat="false" ht="26.25" hidden="false" customHeight="true" outlineLevel="0" collapsed="false">
      <c r="A9" s="27" t="s">
        <v>621</v>
      </c>
      <c r="B9" s="29" t="s">
        <v>622</v>
      </c>
      <c r="C9" s="28"/>
      <c r="D9" s="28"/>
    </row>
    <row r="10" customFormat="false" ht="15" hidden="false" customHeight="true" outlineLevel="0" collapsed="false">
      <c r="A10" s="27" t="s">
        <v>623</v>
      </c>
      <c r="B10" s="29" t="s">
        <v>624</v>
      </c>
      <c r="C10" s="28"/>
      <c r="D10" s="28"/>
    </row>
    <row r="11" customFormat="false" ht="15" hidden="false" customHeight="true" outlineLevel="0" collapsed="false">
      <c r="A11" s="27" t="s">
        <v>625</v>
      </c>
      <c r="B11" s="29" t="s">
        <v>626</v>
      </c>
      <c r="C11" s="28"/>
      <c r="D11" s="28"/>
    </row>
    <row r="12" customFormat="false" ht="15" hidden="false" customHeight="true" outlineLevel="0" collapsed="false">
      <c r="A12" s="27" t="s">
        <v>627</v>
      </c>
      <c r="B12" s="29" t="s">
        <v>628</v>
      </c>
      <c r="C12" s="28"/>
      <c r="D12" s="28"/>
    </row>
    <row r="13" customFormat="false" ht="15" hidden="false" customHeight="true" outlineLevel="0" collapsed="false">
      <c r="A13" s="27" t="s">
        <v>629</v>
      </c>
      <c r="B13" s="29" t="s">
        <v>630</v>
      </c>
      <c r="C13" s="28"/>
      <c r="D13" s="28"/>
    </row>
    <row r="14" customFormat="false" ht="15" hidden="false" customHeight="true" outlineLevel="0" collapsed="false">
      <c r="A14" s="27" t="s">
        <v>631</v>
      </c>
      <c r="B14" s="29" t="s">
        <v>632</v>
      </c>
      <c r="C14" s="28"/>
      <c r="D14" s="28"/>
    </row>
  </sheetData>
  <mergeCells count="2">
    <mergeCell ref="A1:D1"/>
    <mergeCell ref="A2:D2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4"/>
    <col collapsed="false" customWidth="true" hidden="false" outlineLevel="0" max="3" min="3" style="1" width="22"/>
    <col collapsed="false" customWidth="true" hidden="false" outlineLevel="0" max="5" min="4" style="1" width="8"/>
    <col collapsed="false" customWidth="true" hidden="false" outlineLevel="0" max="6" min="6" style="1" width="10"/>
    <col collapsed="false" customWidth="true" hidden="false" outlineLevel="0" max="7" min="7" style="1" width="30"/>
  </cols>
  <sheetData>
    <row r="1" customFormat="false" ht="25.5" hidden="false" customHeight="true" outlineLevel="0" collapsed="false">
      <c r="A1" s="2" t="s">
        <v>633</v>
      </c>
      <c r="B1" s="2"/>
      <c r="C1" s="2"/>
      <c r="D1" s="2"/>
      <c r="E1" s="2"/>
      <c r="F1" s="2"/>
      <c r="G1" s="2"/>
    </row>
    <row r="2" customFormat="false" ht="15" hidden="false" customHeight="true" outlineLevel="0" collapsed="false">
      <c r="A2" s="3" t="s">
        <v>634</v>
      </c>
      <c r="B2" s="3"/>
      <c r="C2" s="3"/>
      <c r="D2" s="3"/>
      <c r="E2" s="3"/>
      <c r="F2" s="3"/>
      <c r="G2" s="3"/>
    </row>
    <row r="4" customFormat="false" ht="27.75" hidden="false" customHeight="true" outlineLevel="0" collapsed="false">
      <c r="A4" s="26" t="s">
        <v>579</v>
      </c>
      <c r="B4" s="26" t="s">
        <v>635</v>
      </c>
      <c r="C4" s="26" t="s">
        <v>115</v>
      </c>
      <c r="D4" s="26" t="s">
        <v>636</v>
      </c>
      <c r="E4" s="26" t="s">
        <v>637</v>
      </c>
      <c r="F4" s="26" t="s">
        <v>638</v>
      </c>
      <c r="G4" s="26" t="s">
        <v>639</v>
      </c>
    </row>
    <row r="5" customFormat="false" ht="15" hidden="false" customHeight="true" outlineLevel="0" collapsed="false">
      <c r="A5" s="28" t="s">
        <v>129</v>
      </c>
      <c r="B5" s="28" t="s">
        <v>20</v>
      </c>
      <c r="C5" s="28" t="s">
        <v>139</v>
      </c>
      <c r="D5" s="28" t="s">
        <v>640</v>
      </c>
      <c r="E5" s="28" t="s">
        <v>641</v>
      </c>
      <c r="F5" s="28" t="s">
        <v>128</v>
      </c>
      <c r="G5" s="28" t="s">
        <v>642</v>
      </c>
    </row>
    <row r="6" customFormat="false" ht="15" hidden="false" customHeight="true" outlineLevel="0" collapsed="false">
      <c r="A6" s="28"/>
      <c r="B6" s="28"/>
      <c r="C6" s="28"/>
      <c r="D6" s="28"/>
      <c r="E6" s="28"/>
      <c r="F6" s="28"/>
      <c r="G6" s="28"/>
    </row>
    <row r="7" customFormat="false" ht="15" hidden="false" customHeight="true" outlineLevel="0" collapsed="false">
      <c r="A7" s="28"/>
      <c r="B7" s="28"/>
      <c r="C7" s="28"/>
      <c r="D7" s="28"/>
      <c r="E7" s="28"/>
      <c r="F7" s="28"/>
      <c r="G7" s="28"/>
    </row>
    <row r="8" customFormat="false" ht="15" hidden="false" customHeight="true" outlineLevel="0" collapsed="false">
      <c r="A8" s="28"/>
      <c r="B8" s="28"/>
      <c r="C8" s="28"/>
      <c r="D8" s="28"/>
      <c r="E8" s="28"/>
      <c r="F8" s="28"/>
      <c r="G8" s="28"/>
    </row>
    <row r="9" customFormat="false" ht="15" hidden="false" customHeight="true" outlineLevel="0" collapsed="false">
      <c r="A9" s="28"/>
      <c r="B9" s="28"/>
      <c r="C9" s="28"/>
      <c r="D9" s="28"/>
      <c r="E9" s="28"/>
      <c r="F9" s="28"/>
      <c r="G9" s="28"/>
    </row>
    <row r="10" customFormat="false" ht="15" hidden="false" customHeight="true" outlineLevel="0" collapsed="false">
      <c r="A10" s="28"/>
      <c r="B10" s="28"/>
      <c r="C10" s="28"/>
      <c r="D10" s="28"/>
      <c r="E10" s="28"/>
      <c r="F10" s="28"/>
      <c r="G10" s="28"/>
    </row>
    <row r="11" customFormat="false" ht="15" hidden="false" customHeight="true" outlineLevel="0" collapsed="false">
      <c r="A11" s="28"/>
      <c r="B11" s="28"/>
      <c r="C11" s="28"/>
      <c r="D11" s="28"/>
      <c r="E11" s="28"/>
      <c r="F11" s="28"/>
      <c r="G11" s="28"/>
    </row>
    <row r="12" customFormat="false" ht="15" hidden="false" customHeight="true" outlineLevel="0" collapsed="false">
      <c r="A12" s="28"/>
      <c r="B12" s="28"/>
      <c r="C12" s="28"/>
      <c r="D12" s="28"/>
      <c r="E12" s="28"/>
      <c r="F12" s="28"/>
      <c r="G12" s="28"/>
    </row>
    <row r="13" customFormat="false" ht="15" hidden="false" customHeight="true" outlineLevel="0" collapsed="false">
      <c r="A13" s="28"/>
      <c r="B13" s="28"/>
      <c r="C13" s="28"/>
      <c r="D13" s="28"/>
      <c r="E13" s="28"/>
      <c r="F13" s="28"/>
      <c r="G13" s="28"/>
    </row>
    <row r="14" customFormat="false" ht="15" hidden="false" customHeight="true" outlineLevel="0" collapsed="false">
      <c r="A14" s="28"/>
      <c r="B14" s="28"/>
      <c r="C14" s="28"/>
      <c r="D14" s="28"/>
      <c r="E14" s="28"/>
      <c r="F14" s="28"/>
      <c r="G14" s="28"/>
    </row>
    <row r="15" customFormat="false" ht="15" hidden="false" customHeight="true" outlineLevel="0" collapsed="false">
      <c r="A15" s="28"/>
      <c r="B15" s="28"/>
      <c r="C15" s="28"/>
      <c r="D15" s="28"/>
      <c r="E15" s="28"/>
      <c r="F15" s="28"/>
      <c r="G15" s="28"/>
    </row>
    <row r="16" customFormat="false" ht="15" hidden="false" customHeight="true" outlineLevel="0" collapsed="false">
      <c r="A16" s="28"/>
      <c r="B16" s="28"/>
      <c r="C16" s="28"/>
      <c r="D16" s="28"/>
      <c r="E16" s="28"/>
      <c r="F16" s="28"/>
      <c r="G16" s="28"/>
    </row>
    <row r="17" customFormat="false" ht="15" hidden="false" customHeight="true" outlineLevel="0" collapsed="false">
      <c r="A17" s="28"/>
      <c r="B17" s="28"/>
      <c r="C17" s="28"/>
      <c r="D17" s="28"/>
      <c r="E17" s="28"/>
      <c r="F17" s="28"/>
      <c r="G17" s="28"/>
    </row>
    <row r="18" customFormat="false" ht="15" hidden="false" customHeight="true" outlineLevel="0" collapsed="false">
      <c r="A18" s="28"/>
      <c r="B18" s="28"/>
      <c r="C18" s="28"/>
      <c r="D18" s="28"/>
      <c r="E18" s="28"/>
      <c r="F18" s="28"/>
      <c r="G18" s="28"/>
    </row>
    <row r="19" customFormat="false" ht="15" hidden="false" customHeight="true" outlineLevel="0" collapsed="false">
      <c r="A19" s="28"/>
      <c r="B19" s="28"/>
      <c r="C19" s="28"/>
      <c r="D19" s="28"/>
      <c r="E19" s="28"/>
      <c r="F19" s="28"/>
      <c r="G19" s="28"/>
    </row>
    <row r="20" customFormat="false" ht="15" hidden="false" customHeight="true" outlineLevel="0" collapsed="false">
      <c r="A20" s="28"/>
      <c r="B20" s="28"/>
      <c r="C20" s="28"/>
      <c r="D20" s="28"/>
      <c r="E20" s="28"/>
      <c r="F20" s="28"/>
      <c r="G20" s="28"/>
    </row>
    <row r="21" customFormat="false" ht="15" hidden="false" customHeight="true" outlineLevel="0" collapsed="false">
      <c r="A21" s="28"/>
      <c r="B21" s="28"/>
      <c r="C21" s="28"/>
      <c r="D21" s="28"/>
      <c r="E21" s="28"/>
      <c r="F21" s="28"/>
      <c r="G21" s="28"/>
    </row>
    <row r="22" customFormat="false" ht="15" hidden="false" customHeight="true" outlineLevel="0" collapsed="false">
      <c r="A22" s="28"/>
      <c r="B22" s="28"/>
      <c r="C22" s="28"/>
      <c r="D22" s="28"/>
      <c r="E22" s="28"/>
      <c r="F22" s="28"/>
      <c r="G22" s="28"/>
    </row>
    <row r="23" customFormat="false" ht="15" hidden="false" customHeight="true" outlineLevel="0" collapsed="false">
      <c r="A23" s="28"/>
      <c r="B23" s="28"/>
      <c r="C23" s="28"/>
      <c r="D23" s="28"/>
      <c r="E23" s="28"/>
      <c r="F23" s="28"/>
      <c r="G23" s="28"/>
    </row>
    <row r="24" customFormat="false" ht="15" hidden="false" customHeight="true" outlineLevel="0" collapsed="false">
      <c r="A24" s="28"/>
      <c r="B24" s="28"/>
      <c r="C24" s="28"/>
      <c r="D24" s="28"/>
      <c r="E24" s="28"/>
      <c r="F24" s="28"/>
      <c r="G24" s="28"/>
    </row>
    <row r="25" customFormat="false" ht="15" hidden="false" customHeight="true" outlineLevel="0" collapsed="false">
      <c r="A25" s="28"/>
      <c r="B25" s="28"/>
      <c r="C25" s="28"/>
      <c r="D25" s="28"/>
      <c r="E25" s="28"/>
      <c r="F25" s="28"/>
      <c r="G25" s="28"/>
    </row>
  </sheetData>
  <mergeCells count="2">
    <mergeCell ref="A1:G1"/>
    <mergeCell ref="A2:G2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O1" s="1" t="n">
        <v>1.3</v>
      </c>
    </row>
    <row r="3" customFormat="false" ht="15" hidden="false" customHeight="true" outlineLevel="0" collapsed="false">
      <c r="A3" s="1" t="s">
        <v>643</v>
      </c>
      <c r="B3" s="1" t="s">
        <v>644</v>
      </c>
      <c r="C3" s="1" t="s">
        <v>645</v>
      </c>
      <c r="E3" s="1" t="s">
        <v>646</v>
      </c>
      <c r="F3" s="1" t="n">
        <v>250</v>
      </c>
      <c r="G3" s="1" t="n">
        <v>500</v>
      </c>
      <c r="H3" s="1" t="n">
        <v>750</v>
      </c>
      <c r="I3" s="1" t="n">
        <v>1000</v>
      </c>
      <c r="J3" s="1" t="n">
        <v>1250</v>
      </c>
      <c r="L3" s="1" t="s">
        <v>282</v>
      </c>
      <c r="M3" s="1" t="s">
        <v>283</v>
      </c>
    </row>
    <row r="4" customFormat="false" ht="15" hidden="false" customHeight="true" outlineLevel="0" collapsed="false">
      <c r="A4" s="1" t="n">
        <v>0</v>
      </c>
      <c r="B4" s="1" t="n">
        <f aca="false">Master!$C$20*SIN(RADIANS(A4))</f>
        <v>0</v>
      </c>
      <c r="C4" s="1" t="n">
        <f aca="false">Master!$C$20*COS(RADIANS(A4))</f>
        <v>1.5</v>
      </c>
      <c r="E4" s="1" t="n">
        <v>-12</v>
      </c>
      <c r="F4" s="1" t="n">
        <f aca="false">Master!$C$20*F$3*SIN($O$1*ATAN((Master!$C$21/($O$1*Master!$C$20*F$3))*$E4))</f>
        <v>-341.909687971084</v>
      </c>
      <c r="G4" s="1" t="n">
        <f aca="false">Master!$C$20*G$3*SIN($O$1*ATAN((Master!$C$21/($O$1*Master!$C$20*G$3))*$E4))</f>
        <v>-697.773465555658</v>
      </c>
      <c r="H4" s="1" t="n">
        <f aca="false">Master!$C$20*H$3*SIN($O$1*ATAN((Master!$C$21/($O$1*Master!$C$20*H$3))*$E4))</f>
        <v>-1065.10073444695</v>
      </c>
      <c r="I4" s="1" t="n">
        <f aca="false">Master!$C$20*I$3*SIN($O$1*ATAN((Master!$C$21/($O$1*Master!$C$20*I$3))*$E4))</f>
        <v>-1441.34561905534</v>
      </c>
      <c r="J4" s="1" t="n">
        <f aca="false">Master!$C$20*J$3*SIN($O$1*ATAN((Master!$C$21/($O$1*Master!$C$20*J$3))*$E4))</f>
        <v>-1823.96258234752</v>
      </c>
      <c r="L4" s="1" t="s">
        <v>285</v>
      </c>
      <c r="M4" s="52" t="n">
        <f aca="false">LoadTransfer!C11</f>
        <v>1038.75433402006</v>
      </c>
    </row>
    <row r="5" customFormat="false" ht="15" hidden="false" customHeight="true" outlineLevel="0" collapsed="false">
      <c r="A5" s="1" t="n">
        <v>10</v>
      </c>
      <c r="B5" s="1" t="n">
        <f aca="false">Master!$C$20*SIN(RADIANS(A5))</f>
        <v>0.260472266500396</v>
      </c>
      <c r="C5" s="1" t="n">
        <f aca="false">Master!$C$20*COS(RADIANS(A5))</f>
        <v>1.47721162951831</v>
      </c>
      <c r="E5" s="1" t="n">
        <v>-11</v>
      </c>
      <c r="F5" s="1" t="n">
        <f aca="false">Master!$C$20*F$3*SIN($O$1*ATAN((Master!$C$21/($O$1*Master!$C$20*F$3))*$E5))</f>
        <v>-342.577692438849</v>
      </c>
      <c r="G5" s="1" t="n">
        <f aca="false">Master!$C$20*G$3*SIN($O$1*ATAN((Master!$C$21/($O$1*Master!$C$20*G$3))*$E5))</f>
        <v>-700.133291990781</v>
      </c>
      <c r="H5" s="1" t="n">
        <f aca="false">Master!$C$20*H$3*SIN($O$1*ATAN((Master!$C$21/($O$1*Master!$C$20*H$3))*$E5))</f>
        <v>-1069.69146359862</v>
      </c>
      <c r="I5" s="1" t="n">
        <f aca="false">Master!$C$20*I$3*SIN($O$1*ATAN((Master!$C$21/($O$1*Master!$C$20*I$3))*$E5))</f>
        <v>-1448.21831708829</v>
      </c>
      <c r="J5" s="1" t="n">
        <f aca="false">Master!$C$20*J$3*SIN($O$1*ATAN((Master!$C$21/($O$1*Master!$C$20*J$3))*$E5))</f>
        <v>-1832.69950350134</v>
      </c>
      <c r="L5" s="1" t="s">
        <v>287</v>
      </c>
      <c r="M5" s="52" t="n">
        <f aca="false">LoadTransfer!C12</f>
        <v>144.458246625102</v>
      </c>
    </row>
    <row r="6" customFormat="false" ht="15" hidden="false" customHeight="true" outlineLevel="0" collapsed="false">
      <c r="A6" s="1" t="n">
        <v>20</v>
      </c>
      <c r="B6" s="1" t="n">
        <f aca="false">Master!$C$20*SIN(RADIANS(A6))</f>
        <v>0.513030214988503</v>
      </c>
      <c r="C6" s="1" t="n">
        <f aca="false">Master!$C$20*COS(RADIANS(A6))</f>
        <v>1.40953893117886</v>
      </c>
      <c r="E6" s="1" t="n">
        <v>-10</v>
      </c>
      <c r="F6" s="1" t="n">
        <f aca="false">Master!$C$20*F$3*SIN($O$1*ATAN((Master!$C$21/($O$1*Master!$C$20*F$3))*$E6))</f>
        <v>-343.370472260717</v>
      </c>
      <c r="G6" s="1" t="n">
        <f aca="false">Master!$C$20*G$3*SIN($O$1*ATAN((Master!$C$21/($O$1*Master!$C$20*G$3))*$E6))</f>
        <v>-702.892240863249</v>
      </c>
      <c r="H6" s="1" t="n">
        <f aca="false">Master!$C$20*H$3*SIN($O$1*ATAN((Master!$C$21/($O$1*Master!$C$20*H$3))*$E6))</f>
        <v>-1074.95092399154</v>
      </c>
      <c r="I6" s="1" t="n">
        <f aca="false">Master!$C$20*I$3*SIN($O$1*ATAN((Master!$C$21/($O$1*Master!$C$20*I$3))*$E6))</f>
        <v>-1455.87518545286</v>
      </c>
      <c r="J6" s="1" t="n">
        <f aca="false">Master!$C$20*J$3*SIN($O$1*ATAN((Master!$C$21/($O$1*Master!$C$20*J$3))*$E6))</f>
        <v>-1842.0495175461</v>
      </c>
      <c r="L6" s="1" t="s">
        <v>289</v>
      </c>
      <c r="M6" s="52" t="n">
        <f aca="false">LoadTransfer!C13</f>
        <v>1116.06575001355</v>
      </c>
    </row>
    <row r="7" customFormat="false" ht="15" hidden="false" customHeight="true" outlineLevel="0" collapsed="false">
      <c r="A7" s="1" t="n">
        <v>30</v>
      </c>
      <c r="B7" s="1" t="n">
        <f aca="false">Master!$C$20*SIN(RADIANS(A7))</f>
        <v>0.75</v>
      </c>
      <c r="C7" s="1" t="n">
        <f aca="false">Master!$C$20*COS(RADIANS(A7))</f>
        <v>1.29903810567666</v>
      </c>
      <c r="E7" s="1" t="n">
        <v>-9</v>
      </c>
      <c r="F7" s="1" t="n">
        <f aca="false">Master!$C$20*F$3*SIN($O$1*ATAN((Master!$C$21/($O$1*Master!$C$20*F$3))*$E7))</f>
        <v>-344.326298695466</v>
      </c>
      <c r="G7" s="1" t="n">
        <f aca="false">Master!$C$20*G$3*SIN($O$1*ATAN((Master!$C$21/($O$1*Master!$C$20*G$3))*$E7))</f>
        <v>-706.155916482783</v>
      </c>
      <c r="H7" s="1" t="n">
        <f aca="false">Master!$C$20*H$3*SIN($O$1*ATAN((Master!$C$21/($O$1*Master!$C$20*H$3))*$E7))</f>
        <v>-1081.00921429151</v>
      </c>
      <c r="I7" s="1" t="n">
        <f aca="false">Master!$C$20*I$3*SIN($O$1*ATAN((Master!$C$21/($O$1*Master!$C$20*I$3))*$E7))</f>
        <v>-1464.36325819681</v>
      </c>
      <c r="J7" s="1" t="n">
        <f aca="false">Master!$C$20*J$3*SIN($O$1*ATAN((Master!$C$21/($O$1*Master!$C$20*J$3))*$E7))</f>
        <v>-1851.82000810142</v>
      </c>
      <c r="L7" s="1" t="s">
        <v>291</v>
      </c>
      <c r="M7" s="52" t="n">
        <f aca="false">LoadTransfer!C14</f>
        <v>290.561669341285</v>
      </c>
    </row>
    <row r="8" customFormat="false" ht="15" hidden="false" customHeight="true" outlineLevel="0" collapsed="false">
      <c r="A8" s="1" t="n">
        <v>40</v>
      </c>
      <c r="B8" s="1" t="n">
        <f aca="false">Master!$C$20*SIN(RADIANS(A8))</f>
        <v>0.964181414529809</v>
      </c>
      <c r="C8" s="1" t="n">
        <f aca="false">Master!$C$20*COS(RADIANS(A8))</f>
        <v>1.14906666467847</v>
      </c>
      <c r="E8" s="1" t="n">
        <v>-8</v>
      </c>
      <c r="F8" s="1" t="n">
        <f aca="false">Master!$C$20*F$3*SIN($O$1*ATAN((Master!$C$21/($O$1*Master!$C$20*F$3))*$E8))</f>
        <v>-345.500682748168</v>
      </c>
      <c r="G8" s="1" t="n">
        <f aca="false">Master!$C$20*G$3*SIN($O$1*ATAN((Master!$C$21/($O$1*Master!$C$20*G$3))*$E8))</f>
        <v>-710.067156297964</v>
      </c>
      <c r="H8" s="1" t="n">
        <f aca="false">Master!$C$20*H$3*SIN($O$1*ATAN((Master!$C$21/($O$1*Master!$C$20*H$3))*$E8))</f>
        <v>-1088.01013057744</v>
      </c>
      <c r="I8" s="1" t="n">
        <f aca="false">Master!$C$20*I$3*SIN($O$1*ATAN((Master!$C$21/($O$1*Master!$C$20*I$3))*$E8))</f>
        <v>-1473.63961403688</v>
      </c>
      <c r="J8" s="1" t="n">
        <f aca="false">Master!$C$20*J$3*SIN($O$1*ATAN((Master!$C$21/($O$1*Master!$C$20*J$3))*$E8))</f>
        <v>-1861.52503839315</v>
      </c>
    </row>
    <row r="9" customFormat="false" ht="15" hidden="false" customHeight="true" outlineLevel="0" collapsed="false">
      <c r="A9" s="1" t="n">
        <v>50</v>
      </c>
      <c r="B9" s="1" t="n">
        <f aca="false">Master!$C$20*SIN(RADIANS(A9))</f>
        <v>1.14906666467847</v>
      </c>
      <c r="C9" s="1" t="n">
        <f aca="false">Master!$C$20*COS(RADIANS(A9))</f>
        <v>0.964181414529809</v>
      </c>
      <c r="E9" s="1" t="n">
        <v>-7</v>
      </c>
      <c r="F9" s="1" t="n">
        <f aca="false">Master!$C$20*F$3*SIN($O$1*ATAN((Master!$C$21/($O$1*Master!$C$20*F$3))*$E9))</f>
        <v>-346.977120484238</v>
      </c>
      <c r="G9" s="1" t="n">
        <f aca="false">Master!$C$20*G$3*SIN($O$1*ATAN((Master!$C$21/($O$1*Master!$C$20*G$3))*$E9))</f>
        <v>-714.819952453568</v>
      </c>
      <c r="H9" s="1" t="n">
        <f aca="false">Master!$C$20*H$3*SIN($O$1*ATAN((Master!$C$21/($O$1*Master!$C$20*H$3))*$E9))</f>
        <v>-1096.0809658978</v>
      </c>
      <c r="I9" s="1" t="n">
        <f aca="false">Master!$C$20*I$3*SIN($O$1*ATAN((Master!$C$21/($O$1*Master!$C$20*I$3))*$E9))</f>
        <v>-1483.42516411153</v>
      </c>
      <c r="J9" s="1" t="n">
        <f aca="false">Master!$C$20*J$3*SIN($O$1*ATAN((Master!$C$21/($O$1*Master!$C$20*J$3))*$E9))</f>
        <v>-1870.04891711734</v>
      </c>
    </row>
    <row r="10" customFormat="false" ht="15" hidden="false" customHeight="true" outlineLevel="0" collapsed="false">
      <c r="A10" s="1" t="n">
        <v>60</v>
      </c>
      <c r="B10" s="1" t="n">
        <f aca="false">Master!$C$20*SIN(RADIANS(A10))</f>
        <v>1.29903810567666</v>
      </c>
      <c r="C10" s="1" t="n">
        <f aca="false">Master!$C$20*COS(RADIANS(A10))</f>
        <v>0.75</v>
      </c>
      <c r="E10" s="1" t="n">
        <v>-6</v>
      </c>
      <c r="F10" s="1" t="n">
        <f aca="false">Master!$C$20*F$3*SIN($O$1*ATAN((Master!$C$21/($O$1*Master!$C$20*F$3))*$E10))</f>
        <v>-348.886732777829</v>
      </c>
      <c r="G10" s="1" t="n">
        <f aca="false">Master!$C$20*G$3*SIN($O$1*ATAN((Master!$C$21/($O$1*Master!$C$20*G$3))*$E10))</f>
        <v>-720.672809527672</v>
      </c>
      <c r="H10" s="1" t="n">
        <f aca="false">Master!$C$20*H$3*SIN($O$1*ATAN((Master!$C$21/($O$1*Master!$C$20*H$3))*$E10))</f>
        <v>-1105.22971052766</v>
      </c>
      <c r="I10" s="1" t="n">
        <f aca="false">Master!$C$20*I$3*SIN($O$1*ATAN((Master!$C$21/($O$1*Master!$C$20*I$3))*$E10))</f>
        <v>-1492.83603884469</v>
      </c>
      <c r="J10" s="1" t="n">
        <f aca="false">Master!$C$20*J$3*SIN($O$1*ATAN((Master!$C$21/($O$1*Master!$C$20*J$3))*$E10))</f>
        <v>-1874.87976571072</v>
      </c>
    </row>
    <row r="11" customFormat="false" ht="15" hidden="false" customHeight="true" outlineLevel="0" collapsed="false">
      <c r="A11" s="1" t="n">
        <v>70</v>
      </c>
      <c r="B11" s="1" t="n">
        <f aca="false">Master!$C$20*SIN(RADIANS(A11))</f>
        <v>1.40953893117886</v>
      </c>
      <c r="C11" s="1" t="n">
        <f aca="false">Master!$C$20*COS(RADIANS(A11))</f>
        <v>0.513030214988503</v>
      </c>
      <c r="E11" s="1" t="n">
        <v>-5</v>
      </c>
      <c r="F11" s="1" t="n">
        <f aca="false">Master!$C$20*F$3*SIN($O$1*ATAN((Master!$C$21/($O$1*Master!$C$20*F$3))*$E11))</f>
        <v>-351.446120431625</v>
      </c>
      <c r="G11" s="1" t="n">
        <f aca="false">Master!$C$20*G$3*SIN($O$1*ATAN((Master!$C$21/($O$1*Master!$C$20*G$3))*$E11))</f>
        <v>-727.937592726432</v>
      </c>
      <c r="H11" s="1" t="n">
        <f aca="false">Master!$C$20*H$3*SIN($O$1*ATAN((Master!$C$21/($O$1*Master!$C$20*H$3))*$E11))</f>
        <v>-1115.00850977941</v>
      </c>
      <c r="I11" s="1" t="n">
        <f aca="false">Master!$C$20*I$3*SIN($O$1*ATAN((Master!$C$21/($O$1*Master!$C$20*I$3))*$E11))</f>
        <v>-1499.39916508785</v>
      </c>
      <c r="J11" s="1" t="n">
        <f aca="false">Master!$C$20*J$3*SIN($O$1*ATAN((Master!$C$21/($O$1*Master!$C$20*J$3))*$E11))</f>
        <v>-1870.26521093458</v>
      </c>
    </row>
    <row r="12" customFormat="false" ht="15" hidden="false" customHeight="true" outlineLevel="0" collapsed="false">
      <c r="A12" s="1" t="n">
        <v>80</v>
      </c>
      <c r="B12" s="1" t="n">
        <f aca="false">Master!$C$20*SIN(RADIANS(A12))</f>
        <v>1.47721162951831</v>
      </c>
      <c r="C12" s="1" t="n">
        <f aca="false">Master!$C$20*COS(RADIANS(A12))</f>
        <v>0.260472266500396</v>
      </c>
      <c r="E12" s="1" t="n">
        <v>-4</v>
      </c>
      <c r="F12" s="1" t="n">
        <f aca="false">Master!$C$20*F$3*SIN($O$1*ATAN((Master!$C$21/($O$1*Master!$C$20*F$3))*$E12))</f>
        <v>-355.033578148982</v>
      </c>
      <c r="G12" s="1" t="n">
        <f aca="false">Master!$C$20*G$3*SIN($O$1*ATAN((Master!$C$21/($O$1*Master!$C$20*G$3))*$E12))</f>
        <v>-736.819807018439</v>
      </c>
      <c r="H12" s="1" t="n">
        <f aca="false">Master!$C$20*H$3*SIN($O$1*ATAN((Master!$C$21/($O$1*Master!$C$20*H$3))*$E12))</f>
        <v>-1123.3558074122</v>
      </c>
      <c r="I12" s="1" t="n">
        <f aca="false">Master!$C$20*I$3*SIN($O$1*ATAN((Master!$C$21/($O$1*Master!$C$20*I$3))*$E12))</f>
        <v>-1496.21216874766</v>
      </c>
      <c r="J12" s="1" t="n">
        <f aca="false">Master!$C$20*J$3*SIN($O$1*ATAN((Master!$C$21/($O$1*Master!$C$20*J$3))*$E12))</f>
        <v>-1842.51376849062</v>
      </c>
    </row>
    <row r="13" customFormat="false" ht="15" hidden="false" customHeight="true" outlineLevel="0" collapsed="false">
      <c r="A13" s="1" t="n">
        <v>90</v>
      </c>
      <c r="B13" s="1" t="n">
        <f aca="false">Master!$C$20*SIN(RADIANS(A13))</f>
        <v>1.5</v>
      </c>
      <c r="C13" s="1" t="n">
        <f aca="false">Master!$C$20*COS(RADIANS(A13))</f>
        <v>9.18485099360515E-017</v>
      </c>
      <c r="E13" s="1" t="n">
        <v>-3</v>
      </c>
      <c r="F13" s="1" t="n">
        <f aca="false">Master!$C$20*F$3*SIN($O$1*ATAN((Master!$C$21/($O$1*Master!$C$20*F$3))*$E13))</f>
        <v>-360.336404763836</v>
      </c>
      <c r="G13" s="1" t="n">
        <f aca="false">Master!$C$20*G$3*SIN($O$1*ATAN((Master!$C$21/($O$1*Master!$C$20*G$3))*$E13))</f>
        <v>-746.418019422346</v>
      </c>
      <c r="H13" s="1" t="n">
        <f aca="false">Master!$C$20*H$3*SIN($O$1*ATAN((Master!$C$21/($O$1*Master!$C$20*H$3))*$E13))</f>
        <v>-1122.15912656075</v>
      </c>
      <c r="I13" s="1" t="n">
        <f aca="false">Master!$C$20*I$3*SIN($O$1*ATAN((Master!$C$21/($O$1*Master!$C$20*I$3))*$E13))</f>
        <v>-1462.99617449727</v>
      </c>
      <c r="J13" s="1" t="n">
        <f aca="false">Master!$C$20*J$3*SIN($O$1*ATAN((Master!$C$21/($O$1*Master!$C$20*J$3))*$E13))</f>
        <v>-1757.56109431108</v>
      </c>
    </row>
    <row r="14" customFormat="false" ht="15" hidden="false" customHeight="true" outlineLevel="0" collapsed="false">
      <c r="A14" s="1" t="n">
        <v>100</v>
      </c>
      <c r="B14" s="1" t="n">
        <f aca="false">Master!$C$20*SIN(RADIANS(A14))</f>
        <v>1.47721162951831</v>
      </c>
      <c r="C14" s="1" t="n">
        <f aca="false">Master!$C$20*COS(RADIANS(A14))</f>
        <v>-0.260472266500395</v>
      </c>
      <c r="E14" s="1" t="n">
        <v>-2</v>
      </c>
      <c r="F14" s="1" t="n">
        <f aca="false">Master!$C$20*F$3*SIN($O$1*ATAN((Master!$C$21/($O$1*Master!$C$20*F$3))*$E14))</f>
        <v>-368.40990350922</v>
      </c>
      <c r="G14" s="1" t="n">
        <f aca="false">Master!$C$20*G$3*SIN($O$1*ATAN((Master!$C$21/($O$1*Master!$C$20*G$3))*$E14))</f>
        <v>-748.106084373832</v>
      </c>
      <c r="H14" s="1" t="n">
        <f aca="false">Master!$C$20*H$3*SIN($O$1*ATAN((Master!$C$21/($O$1*Master!$C$20*H$3))*$E14))</f>
        <v>-1077.55403543669</v>
      </c>
      <c r="I14" s="1" t="n">
        <f aca="false">Master!$C$20*I$3*SIN($O$1*ATAN((Master!$C$21/($O$1*Master!$C$20*I$3))*$E14))</f>
        <v>-1336.29105978593</v>
      </c>
      <c r="J14" s="1" t="n">
        <f aca="false">Master!$C$20*J$3*SIN($O$1*ATAN((Master!$C$21/($O$1*Master!$C$20*J$3))*$E14))</f>
        <v>-1530.04537892877</v>
      </c>
    </row>
    <row r="15" customFormat="false" ht="15" hidden="false" customHeight="true" outlineLevel="0" collapsed="false">
      <c r="A15" s="1" t="n">
        <v>110</v>
      </c>
      <c r="B15" s="1" t="n">
        <f aca="false">Master!$C$20*SIN(RADIANS(A15))</f>
        <v>1.40953893117886</v>
      </c>
      <c r="C15" s="1" t="n">
        <f aca="false">Master!$C$20*COS(RADIANS(A15))</f>
        <v>-0.513030214988503</v>
      </c>
      <c r="E15" s="1" t="n">
        <v>-1</v>
      </c>
      <c r="F15" s="1" t="n">
        <f aca="false">Master!$C$20*F$3*SIN($O$1*ATAN((Master!$C$21/($O$1*Master!$C$20*F$3))*$E15))</f>
        <v>-374.053042186916</v>
      </c>
      <c r="G15" s="1" t="n">
        <f aca="false">Master!$C$20*G$3*SIN($O$1*ATAN((Master!$C$21/($O$1*Master!$C$20*G$3))*$E15))</f>
        <v>-668.145529892964</v>
      </c>
      <c r="H15" s="1" t="n">
        <f aca="false">Master!$C$20*H$3*SIN($O$1*ATAN((Master!$C$21/($O$1*Master!$C$20*H$3))*$E15))</f>
        <v>-836.466388086681</v>
      </c>
      <c r="I15" s="1" t="n">
        <f aca="false">Master!$C$20*I$3*SIN($O$1*ATAN((Master!$C$21/($O$1*Master!$C$20*I$3))*$E15))</f>
        <v>-928.75797155768</v>
      </c>
      <c r="J15" s="1" t="n">
        <f aca="false">Master!$C$20*J$3*SIN($O$1*ATAN((Master!$C$21/($O$1*Master!$C$20*J$3))*$E15))</f>
        <v>-981.7890089257</v>
      </c>
    </row>
    <row r="16" customFormat="false" ht="15" hidden="false" customHeight="true" outlineLevel="0" collapsed="false">
      <c r="A16" s="1" t="n">
        <v>120</v>
      </c>
      <c r="B16" s="1" t="n">
        <f aca="false">Master!$C$20*SIN(RADIANS(A16))</f>
        <v>1.29903810567666</v>
      </c>
      <c r="C16" s="1" t="n">
        <f aca="false">Master!$C$20*COS(RADIANS(A16))</f>
        <v>-0.75</v>
      </c>
      <c r="E16" s="1" t="n">
        <v>0</v>
      </c>
      <c r="F16" s="1" t="n">
        <f aca="false">Master!$C$20*F$3*SIN($O$1*ATAN((Master!$C$21/($O$1*Master!$C$20*F$3))*$E16))</f>
        <v>0</v>
      </c>
      <c r="G16" s="1" t="n">
        <f aca="false">Master!$C$20*G$3*SIN($O$1*ATAN((Master!$C$21/($O$1*Master!$C$20*G$3))*$E16))</f>
        <v>0</v>
      </c>
      <c r="H16" s="1" t="n">
        <f aca="false">Master!$C$20*H$3*SIN($O$1*ATAN((Master!$C$21/($O$1*Master!$C$20*H$3))*$E16))</f>
        <v>0</v>
      </c>
      <c r="I16" s="1" t="n">
        <f aca="false">Master!$C$20*I$3*SIN($O$1*ATAN((Master!$C$21/($O$1*Master!$C$20*I$3))*$E16))</f>
        <v>0</v>
      </c>
      <c r="J16" s="1" t="n">
        <f aca="false">Master!$C$20*J$3*SIN($O$1*ATAN((Master!$C$21/($O$1*Master!$C$20*J$3))*$E16))</f>
        <v>0</v>
      </c>
    </row>
    <row r="17" customFormat="false" ht="15" hidden="false" customHeight="true" outlineLevel="0" collapsed="false">
      <c r="A17" s="1" t="n">
        <v>130</v>
      </c>
      <c r="B17" s="1" t="n">
        <f aca="false">Master!$C$20*SIN(RADIANS(A17))</f>
        <v>1.14906666467847</v>
      </c>
      <c r="C17" s="1" t="n">
        <f aca="false">Master!$C$20*COS(RADIANS(A17))</f>
        <v>-0.964181414529809</v>
      </c>
      <c r="E17" s="1" t="n">
        <v>1</v>
      </c>
      <c r="F17" s="1" t="n">
        <f aca="false">Master!$C$20*F$3*SIN($O$1*ATAN((Master!$C$21/($O$1*Master!$C$20*F$3))*$E17))</f>
        <v>374.053042186916</v>
      </c>
      <c r="G17" s="1" t="n">
        <f aca="false">Master!$C$20*G$3*SIN($O$1*ATAN((Master!$C$21/($O$1*Master!$C$20*G$3))*$E17))</f>
        <v>668.145529892964</v>
      </c>
      <c r="H17" s="1" t="n">
        <f aca="false">Master!$C$20*H$3*SIN($O$1*ATAN((Master!$C$21/($O$1*Master!$C$20*H$3))*$E17))</f>
        <v>836.466388086681</v>
      </c>
      <c r="I17" s="1" t="n">
        <f aca="false">Master!$C$20*I$3*SIN($O$1*ATAN((Master!$C$21/($O$1*Master!$C$20*I$3))*$E17))</f>
        <v>928.75797155768</v>
      </c>
      <c r="J17" s="1" t="n">
        <f aca="false">Master!$C$20*J$3*SIN($O$1*ATAN((Master!$C$21/($O$1*Master!$C$20*J$3))*$E17))</f>
        <v>981.7890089257</v>
      </c>
    </row>
    <row r="18" customFormat="false" ht="15" hidden="false" customHeight="true" outlineLevel="0" collapsed="false">
      <c r="A18" s="1" t="n">
        <v>140</v>
      </c>
      <c r="B18" s="1" t="n">
        <f aca="false">Master!$C$20*SIN(RADIANS(A18))</f>
        <v>0.964181414529809</v>
      </c>
      <c r="C18" s="1" t="n">
        <f aca="false">Master!$C$20*COS(RADIANS(A18))</f>
        <v>-1.14906666467847</v>
      </c>
      <c r="E18" s="1" t="n">
        <v>2</v>
      </c>
      <c r="F18" s="1" t="n">
        <f aca="false">Master!$C$20*F$3*SIN($O$1*ATAN((Master!$C$21/($O$1*Master!$C$20*F$3))*$E18))</f>
        <v>368.40990350922</v>
      </c>
      <c r="G18" s="1" t="n">
        <f aca="false">Master!$C$20*G$3*SIN($O$1*ATAN((Master!$C$21/($O$1*Master!$C$20*G$3))*$E18))</f>
        <v>748.106084373832</v>
      </c>
      <c r="H18" s="1" t="n">
        <f aca="false">Master!$C$20*H$3*SIN($O$1*ATAN((Master!$C$21/($O$1*Master!$C$20*H$3))*$E18))</f>
        <v>1077.55403543669</v>
      </c>
      <c r="I18" s="1" t="n">
        <f aca="false">Master!$C$20*I$3*SIN($O$1*ATAN((Master!$C$21/($O$1*Master!$C$20*I$3))*$E18))</f>
        <v>1336.29105978593</v>
      </c>
      <c r="J18" s="1" t="n">
        <f aca="false">Master!$C$20*J$3*SIN($O$1*ATAN((Master!$C$21/($O$1*Master!$C$20*J$3))*$E18))</f>
        <v>1530.04537892877</v>
      </c>
    </row>
    <row r="19" customFormat="false" ht="15" hidden="false" customHeight="true" outlineLevel="0" collapsed="false">
      <c r="A19" s="1" t="n">
        <v>150</v>
      </c>
      <c r="B19" s="1" t="n">
        <f aca="false">Master!$C$20*SIN(RADIANS(A19))</f>
        <v>0.75</v>
      </c>
      <c r="C19" s="1" t="n">
        <f aca="false">Master!$C$20*COS(RADIANS(A19))</f>
        <v>-1.29903810567666</v>
      </c>
      <c r="E19" s="1" t="n">
        <v>3</v>
      </c>
      <c r="F19" s="1" t="n">
        <f aca="false">Master!$C$20*F$3*SIN($O$1*ATAN((Master!$C$21/($O$1*Master!$C$20*F$3))*$E19))</f>
        <v>360.336404763836</v>
      </c>
      <c r="G19" s="1" t="n">
        <f aca="false">Master!$C$20*G$3*SIN($O$1*ATAN((Master!$C$21/($O$1*Master!$C$20*G$3))*$E19))</f>
        <v>746.418019422346</v>
      </c>
      <c r="H19" s="1" t="n">
        <f aca="false">Master!$C$20*H$3*SIN($O$1*ATAN((Master!$C$21/($O$1*Master!$C$20*H$3))*$E19))</f>
        <v>1122.15912656075</v>
      </c>
      <c r="I19" s="1" t="n">
        <f aca="false">Master!$C$20*I$3*SIN($O$1*ATAN((Master!$C$21/($O$1*Master!$C$20*I$3))*$E19))</f>
        <v>1462.99617449727</v>
      </c>
      <c r="J19" s="1" t="n">
        <f aca="false">Master!$C$20*J$3*SIN($O$1*ATAN((Master!$C$21/($O$1*Master!$C$20*J$3))*$E19))</f>
        <v>1757.56109431108</v>
      </c>
    </row>
    <row r="20" customFormat="false" ht="15" hidden="false" customHeight="true" outlineLevel="0" collapsed="false">
      <c r="A20" s="1" t="n">
        <v>160</v>
      </c>
      <c r="B20" s="1" t="n">
        <f aca="false">Master!$C$20*SIN(RADIANS(A20))</f>
        <v>0.513030214988503</v>
      </c>
      <c r="C20" s="1" t="n">
        <f aca="false">Master!$C$20*COS(RADIANS(A20))</f>
        <v>-1.40953893117886</v>
      </c>
      <c r="E20" s="1" t="n">
        <v>4</v>
      </c>
      <c r="F20" s="1" t="n">
        <f aca="false">Master!$C$20*F$3*SIN($O$1*ATAN((Master!$C$21/($O$1*Master!$C$20*F$3))*$E20))</f>
        <v>355.033578148982</v>
      </c>
      <c r="G20" s="1" t="n">
        <f aca="false">Master!$C$20*G$3*SIN($O$1*ATAN((Master!$C$21/($O$1*Master!$C$20*G$3))*$E20))</f>
        <v>736.819807018439</v>
      </c>
      <c r="H20" s="1" t="n">
        <f aca="false">Master!$C$20*H$3*SIN($O$1*ATAN((Master!$C$21/($O$1*Master!$C$20*H$3))*$E20))</f>
        <v>1123.3558074122</v>
      </c>
      <c r="I20" s="1" t="n">
        <f aca="false">Master!$C$20*I$3*SIN($O$1*ATAN((Master!$C$21/($O$1*Master!$C$20*I$3))*$E20))</f>
        <v>1496.21216874766</v>
      </c>
      <c r="J20" s="1" t="n">
        <f aca="false">Master!$C$20*J$3*SIN($O$1*ATAN((Master!$C$21/($O$1*Master!$C$20*J$3))*$E20))</f>
        <v>1842.51376849062</v>
      </c>
    </row>
    <row r="21" customFormat="false" ht="15" hidden="false" customHeight="true" outlineLevel="0" collapsed="false">
      <c r="A21" s="1" t="n">
        <v>170</v>
      </c>
      <c r="B21" s="1" t="n">
        <f aca="false">Master!$C$20*SIN(RADIANS(A21))</f>
        <v>0.260472266500396</v>
      </c>
      <c r="C21" s="1" t="n">
        <f aca="false">Master!$C$20*COS(RADIANS(A21))</f>
        <v>-1.47721162951831</v>
      </c>
      <c r="E21" s="1" t="n">
        <v>5</v>
      </c>
      <c r="F21" s="1" t="n">
        <f aca="false">Master!$C$20*F$3*SIN($O$1*ATAN((Master!$C$21/($O$1*Master!$C$20*F$3))*$E21))</f>
        <v>351.446120431625</v>
      </c>
      <c r="G21" s="1" t="n">
        <f aca="false">Master!$C$20*G$3*SIN($O$1*ATAN((Master!$C$21/($O$1*Master!$C$20*G$3))*$E21))</f>
        <v>727.937592726432</v>
      </c>
      <c r="H21" s="1" t="n">
        <f aca="false">Master!$C$20*H$3*SIN($O$1*ATAN((Master!$C$21/($O$1*Master!$C$20*H$3))*$E21))</f>
        <v>1115.00850977941</v>
      </c>
      <c r="I21" s="1" t="n">
        <f aca="false">Master!$C$20*I$3*SIN($O$1*ATAN((Master!$C$21/($O$1*Master!$C$20*I$3))*$E21))</f>
        <v>1499.39916508785</v>
      </c>
      <c r="J21" s="1" t="n">
        <f aca="false">Master!$C$20*J$3*SIN($O$1*ATAN((Master!$C$21/($O$1*Master!$C$20*J$3))*$E21))</f>
        <v>1870.26521093458</v>
      </c>
    </row>
    <row r="22" customFormat="false" ht="15" hidden="false" customHeight="true" outlineLevel="0" collapsed="false">
      <c r="A22" s="1" t="n">
        <v>180</v>
      </c>
      <c r="B22" s="1" t="n">
        <f aca="false">Master!$C$20*SIN(RADIANS(A22))</f>
        <v>1.83697019872103E-016</v>
      </c>
      <c r="C22" s="1" t="n">
        <f aca="false">Master!$C$20*COS(RADIANS(A22))</f>
        <v>-1.5</v>
      </c>
      <c r="E22" s="1" t="n">
        <v>6</v>
      </c>
      <c r="F22" s="1" t="n">
        <f aca="false">Master!$C$20*F$3*SIN($O$1*ATAN((Master!$C$21/($O$1*Master!$C$20*F$3))*$E22))</f>
        <v>348.886732777829</v>
      </c>
      <c r="G22" s="1" t="n">
        <f aca="false">Master!$C$20*G$3*SIN($O$1*ATAN((Master!$C$21/($O$1*Master!$C$20*G$3))*$E22))</f>
        <v>720.672809527672</v>
      </c>
      <c r="H22" s="1" t="n">
        <f aca="false">Master!$C$20*H$3*SIN($O$1*ATAN((Master!$C$21/($O$1*Master!$C$20*H$3))*$E22))</f>
        <v>1105.22971052766</v>
      </c>
      <c r="I22" s="1" t="n">
        <f aca="false">Master!$C$20*I$3*SIN($O$1*ATAN((Master!$C$21/($O$1*Master!$C$20*I$3))*$E22))</f>
        <v>1492.83603884469</v>
      </c>
      <c r="J22" s="1" t="n">
        <f aca="false">Master!$C$20*J$3*SIN($O$1*ATAN((Master!$C$21/($O$1*Master!$C$20*J$3))*$E22))</f>
        <v>1874.87976571072</v>
      </c>
    </row>
    <row r="23" customFormat="false" ht="15" hidden="false" customHeight="true" outlineLevel="0" collapsed="false">
      <c r="A23" s="1" t="n">
        <v>190</v>
      </c>
      <c r="B23" s="1" t="n">
        <f aca="false">Master!$C$20*SIN(RADIANS(A23))</f>
        <v>-0.260472266500396</v>
      </c>
      <c r="C23" s="1" t="n">
        <f aca="false">Master!$C$20*COS(RADIANS(A23))</f>
        <v>-1.47721162951831</v>
      </c>
      <c r="E23" s="1" t="n">
        <v>7</v>
      </c>
      <c r="F23" s="1" t="n">
        <f aca="false">Master!$C$20*F$3*SIN($O$1*ATAN((Master!$C$21/($O$1*Master!$C$20*F$3))*$E23))</f>
        <v>346.977120484238</v>
      </c>
      <c r="G23" s="1" t="n">
        <f aca="false">Master!$C$20*G$3*SIN($O$1*ATAN((Master!$C$21/($O$1*Master!$C$20*G$3))*$E23))</f>
        <v>714.819952453568</v>
      </c>
      <c r="H23" s="1" t="n">
        <f aca="false">Master!$C$20*H$3*SIN($O$1*ATAN((Master!$C$21/($O$1*Master!$C$20*H$3))*$E23))</f>
        <v>1096.0809658978</v>
      </c>
      <c r="I23" s="1" t="n">
        <f aca="false">Master!$C$20*I$3*SIN($O$1*ATAN((Master!$C$21/($O$1*Master!$C$20*I$3))*$E23))</f>
        <v>1483.42516411153</v>
      </c>
      <c r="J23" s="1" t="n">
        <f aca="false">Master!$C$20*J$3*SIN($O$1*ATAN((Master!$C$21/($O$1*Master!$C$20*J$3))*$E23))</f>
        <v>1870.04891711734</v>
      </c>
    </row>
    <row r="24" customFormat="false" ht="15" hidden="false" customHeight="true" outlineLevel="0" collapsed="false">
      <c r="A24" s="1" t="n">
        <v>200</v>
      </c>
      <c r="B24" s="1" t="n">
        <f aca="false">Master!$C$20*SIN(RADIANS(A24))</f>
        <v>-0.513030214988503</v>
      </c>
      <c r="C24" s="1" t="n">
        <f aca="false">Master!$C$20*COS(RADIANS(A24))</f>
        <v>-1.40953893117886</v>
      </c>
      <c r="E24" s="1" t="n">
        <v>8</v>
      </c>
      <c r="F24" s="1" t="n">
        <f aca="false">Master!$C$20*F$3*SIN($O$1*ATAN((Master!$C$21/($O$1*Master!$C$20*F$3))*$E24))</f>
        <v>345.500682748168</v>
      </c>
      <c r="G24" s="1" t="n">
        <f aca="false">Master!$C$20*G$3*SIN($O$1*ATAN((Master!$C$21/($O$1*Master!$C$20*G$3))*$E24))</f>
        <v>710.067156297964</v>
      </c>
      <c r="H24" s="1" t="n">
        <f aca="false">Master!$C$20*H$3*SIN($O$1*ATAN((Master!$C$21/($O$1*Master!$C$20*H$3))*$E24))</f>
        <v>1088.01013057744</v>
      </c>
      <c r="I24" s="1" t="n">
        <f aca="false">Master!$C$20*I$3*SIN($O$1*ATAN((Master!$C$21/($O$1*Master!$C$20*I$3))*$E24))</f>
        <v>1473.63961403688</v>
      </c>
      <c r="J24" s="1" t="n">
        <f aca="false">Master!$C$20*J$3*SIN($O$1*ATAN((Master!$C$21/($O$1*Master!$C$20*J$3))*$E24))</f>
        <v>1861.52503839315</v>
      </c>
    </row>
    <row r="25" customFormat="false" ht="15" hidden="false" customHeight="true" outlineLevel="0" collapsed="false">
      <c r="A25" s="1" t="n">
        <v>210</v>
      </c>
      <c r="B25" s="1" t="n">
        <f aca="false">Master!$C$20*SIN(RADIANS(A25))</f>
        <v>-0.75</v>
      </c>
      <c r="C25" s="1" t="n">
        <f aca="false">Master!$C$20*COS(RADIANS(A25))</f>
        <v>-1.29903810567666</v>
      </c>
      <c r="E25" s="1" t="n">
        <v>9</v>
      </c>
      <c r="F25" s="1" t="n">
        <f aca="false">Master!$C$20*F$3*SIN($O$1*ATAN((Master!$C$21/($O$1*Master!$C$20*F$3))*$E25))</f>
        <v>344.326298695466</v>
      </c>
      <c r="G25" s="1" t="n">
        <f aca="false">Master!$C$20*G$3*SIN($O$1*ATAN((Master!$C$21/($O$1*Master!$C$20*G$3))*$E25))</f>
        <v>706.155916482783</v>
      </c>
      <c r="H25" s="1" t="n">
        <f aca="false">Master!$C$20*H$3*SIN($O$1*ATAN((Master!$C$21/($O$1*Master!$C$20*H$3))*$E25))</f>
        <v>1081.00921429151</v>
      </c>
      <c r="I25" s="1" t="n">
        <f aca="false">Master!$C$20*I$3*SIN($O$1*ATAN((Master!$C$21/($O$1*Master!$C$20*I$3))*$E25))</f>
        <v>1464.36325819681</v>
      </c>
      <c r="J25" s="1" t="n">
        <f aca="false">Master!$C$20*J$3*SIN($O$1*ATAN((Master!$C$21/($O$1*Master!$C$20*J$3))*$E25))</f>
        <v>1851.82000810142</v>
      </c>
    </row>
    <row r="26" customFormat="false" ht="15" hidden="false" customHeight="true" outlineLevel="0" collapsed="false">
      <c r="A26" s="1" t="n">
        <v>220</v>
      </c>
      <c r="B26" s="1" t="n">
        <f aca="false">Master!$C$20*SIN(RADIANS(A26))</f>
        <v>-0.964181414529809</v>
      </c>
      <c r="C26" s="1" t="n">
        <f aca="false">Master!$C$20*COS(RADIANS(A26))</f>
        <v>-1.14906666467847</v>
      </c>
      <c r="E26" s="1" t="n">
        <v>10</v>
      </c>
      <c r="F26" s="1" t="n">
        <f aca="false">Master!$C$20*F$3*SIN($O$1*ATAN((Master!$C$21/($O$1*Master!$C$20*F$3))*$E26))</f>
        <v>343.370472260717</v>
      </c>
      <c r="G26" s="1" t="n">
        <f aca="false">Master!$C$20*G$3*SIN($O$1*ATAN((Master!$C$21/($O$1*Master!$C$20*G$3))*$E26))</f>
        <v>702.892240863249</v>
      </c>
      <c r="H26" s="1" t="n">
        <f aca="false">Master!$C$20*H$3*SIN($O$1*ATAN((Master!$C$21/($O$1*Master!$C$20*H$3))*$E26))</f>
        <v>1074.95092399154</v>
      </c>
      <c r="I26" s="1" t="n">
        <f aca="false">Master!$C$20*I$3*SIN($O$1*ATAN((Master!$C$21/($O$1*Master!$C$20*I$3))*$E26))</f>
        <v>1455.87518545286</v>
      </c>
      <c r="J26" s="1" t="n">
        <f aca="false">Master!$C$20*J$3*SIN($O$1*ATAN((Master!$C$21/($O$1*Master!$C$20*J$3))*$E26))</f>
        <v>1842.0495175461</v>
      </c>
    </row>
    <row r="27" customFormat="false" ht="15" hidden="false" customHeight="true" outlineLevel="0" collapsed="false">
      <c r="A27" s="1" t="n">
        <v>230</v>
      </c>
      <c r="B27" s="1" t="n">
        <f aca="false">Master!$C$20*SIN(RADIANS(A27))</f>
        <v>-1.14906666467847</v>
      </c>
      <c r="C27" s="1" t="n">
        <f aca="false">Master!$C$20*COS(RADIANS(A27))</f>
        <v>-0.964181414529809</v>
      </c>
      <c r="E27" s="1" t="n">
        <v>11</v>
      </c>
      <c r="F27" s="1" t="n">
        <f aca="false">Master!$C$20*F$3*SIN($O$1*ATAN((Master!$C$21/($O$1*Master!$C$20*F$3))*$E27))</f>
        <v>342.577692438849</v>
      </c>
      <c r="G27" s="1" t="n">
        <f aca="false">Master!$C$20*G$3*SIN($O$1*ATAN((Master!$C$21/($O$1*Master!$C$20*G$3))*$E27))</f>
        <v>700.133291990781</v>
      </c>
      <c r="H27" s="1" t="n">
        <f aca="false">Master!$C$20*H$3*SIN($O$1*ATAN((Master!$C$21/($O$1*Master!$C$20*H$3))*$E27))</f>
        <v>1069.69146359862</v>
      </c>
      <c r="I27" s="1" t="n">
        <f aca="false">Master!$C$20*I$3*SIN($O$1*ATAN((Master!$C$21/($O$1*Master!$C$20*I$3))*$E27))</f>
        <v>1448.21831708829</v>
      </c>
      <c r="J27" s="1" t="n">
        <f aca="false">Master!$C$20*J$3*SIN($O$1*ATAN((Master!$C$21/($O$1*Master!$C$20*J$3))*$E27))</f>
        <v>1832.69950350134</v>
      </c>
    </row>
    <row r="28" customFormat="false" ht="15" hidden="false" customHeight="true" outlineLevel="0" collapsed="false">
      <c r="A28" s="1" t="n">
        <v>240</v>
      </c>
      <c r="B28" s="1" t="n">
        <f aca="false">Master!$C$20*SIN(RADIANS(A28))</f>
        <v>-1.29903810567666</v>
      </c>
      <c r="C28" s="1" t="n">
        <f aca="false">Master!$C$20*COS(RADIANS(A28))</f>
        <v>-0.750000000000001</v>
      </c>
      <c r="E28" s="1" t="n">
        <v>12</v>
      </c>
      <c r="F28" s="1" t="n">
        <f aca="false">Master!$C$20*F$3*SIN($O$1*ATAN((Master!$C$21/($O$1*Master!$C$20*F$3))*$E28))</f>
        <v>341.909687971084</v>
      </c>
      <c r="G28" s="1" t="n">
        <f aca="false">Master!$C$20*G$3*SIN($O$1*ATAN((Master!$C$21/($O$1*Master!$C$20*G$3))*$E28))</f>
        <v>697.773465555658</v>
      </c>
      <c r="H28" s="1" t="n">
        <f aca="false">Master!$C$20*H$3*SIN($O$1*ATAN((Master!$C$21/($O$1*Master!$C$20*H$3))*$E28))</f>
        <v>1065.10073444695</v>
      </c>
      <c r="I28" s="1" t="n">
        <f aca="false">Master!$C$20*I$3*SIN($O$1*ATAN((Master!$C$21/($O$1*Master!$C$20*I$3))*$E28))</f>
        <v>1441.34561905534</v>
      </c>
      <c r="J28" s="1" t="n">
        <f aca="false">Master!$C$20*J$3*SIN($O$1*ATAN((Master!$C$21/($O$1*Master!$C$20*J$3))*$E28))</f>
        <v>1823.96258234752</v>
      </c>
    </row>
    <row r="29" customFormat="false" ht="15" hidden="false" customHeight="true" outlineLevel="0" collapsed="false">
      <c r="A29" s="1" t="n">
        <v>250</v>
      </c>
      <c r="B29" s="1" t="n">
        <f aca="false">Master!$C$20*SIN(RADIANS(A29))</f>
        <v>-1.40953893117886</v>
      </c>
      <c r="C29" s="1" t="n">
        <f aca="false">Master!$C$20*COS(RADIANS(A29))</f>
        <v>-0.513030214988504</v>
      </c>
    </row>
    <row r="30" customFormat="false" ht="15" hidden="false" customHeight="true" outlineLevel="0" collapsed="false">
      <c r="A30" s="1" t="n">
        <v>260</v>
      </c>
      <c r="B30" s="1" t="n">
        <f aca="false">Master!$C$20*SIN(RADIANS(A30))</f>
        <v>-1.47721162951831</v>
      </c>
      <c r="C30" s="1" t="n">
        <f aca="false">Master!$C$20*COS(RADIANS(A30))</f>
        <v>-0.260472266500396</v>
      </c>
    </row>
    <row r="31" customFormat="false" ht="15" hidden="false" customHeight="true" outlineLevel="0" collapsed="false">
      <c r="A31" s="1" t="n">
        <v>270</v>
      </c>
      <c r="B31" s="1" t="n">
        <f aca="false">Master!$C$20*SIN(RADIANS(A31))</f>
        <v>-1.5</v>
      </c>
      <c r="C31" s="1" t="n">
        <f aca="false">Master!$C$20*COS(RADIANS(A31))</f>
        <v>-2.75545529808155E-016</v>
      </c>
    </row>
    <row r="32" customFormat="false" ht="15" hidden="false" customHeight="true" outlineLevel="0" collapsed="false">
      <c r="A32" s="1" t="n">
        <v>280</v>
      </c>
      <c r="B32" s="1" t="n">
        <f aca="false">Master!$C$20*SIN(RADIANS(A32))</f>
        <v>-1.47721162951831</v>
      </c>
      <c r="C32" s="1" t="n">
        <f aca="false">Master!$C$20*COS(RADIANS(A32))</f>
        <v>0.260472266500395</v>
      </c>
    </row>
    <row r="33" customFormat="false" ht="15" hidden="false" customHeight="true" outlineLevel="0" collapsed="false">
      <c r="A33" s="1" t="n">
        <v>290</v>
      </c>
      <c r="B33" s="1" t="n">
        <f aca="false">Master!$C$20*SIN(RADIANS(A33))</f>
        <v>-1.40953893117886</v>
      </c>
      <c r="C33" s="1" t="n">
        <f aca="false">Master!$C$20*COS(RADIANS(A33))</f>
        <v>0.513030214988504</v>
      </c>
    </row>
    <row r="34" customFormat="false" ht="15" hidden="false" customHeight="true" outlineLevel="0" collapsed="false">
      <c r="A34" s="1" t="n">
        <v>300</v>
      </c>
      <c r="B34" s="1" t="n">
        <f aca="false">Master!$C$20*SIN(RADIANS(A34))</f>
        <v>-1.29903810567666</v>
      </c>
      <c r="C34" s="1" t="n">
        <f aca="false">Master!$C$20*COS(RADIANS(A34))</f>
        <v>0.75</v>
      </c>
    </row>
    <row r="35" customFormat="false" ht="15" hidden="false" customHeight="true" outlineLevel="0" collapsed="false">
      <c r="A35" s="1" t="n">
        <v>310</v>
      </c>
      <c r="B35" s="1" t="n">
        <f aca="false">Master!$C$20*SIN(RADIANS(A35))</f>
        <v>-1.14906666467847</v>
      </c>
      <c r="C35" s="1" t="n">
        <f aca="false">Master!$C$20*COS(RADIANS(A35))</f>
        <v>0.964181414529809</v>
      </c>
    </row>
    <row r="36" customFormat="false" ht="15" hidden="false" customHeight="true" outlineLevel="0" collapsed="false">
      <c r="A36" s="1" t="n">
        <v>320</v>
      </c>
      <c r="B36" s="1" t="n">
        <f aca="false">Master!$C$20*SIN(RADIANS(A36))</f>
        <v>-0.964181414529809</v>
      </c>
      <c r="C36" s="1" t="n">
        <f aca="false">Master!$C$20*COS(RADIANS(A36))</f>
        <v>1.14906666467847</v>
      </c>
    </row>
    <row r="37" customFormat="false" ht="15" hidden="false" customHeight="true" outlineLevel="0" collapsed="false">
      <c r="A37" s="1" t="n">
        <v>330</v>
      </c>
      <c r="B37" s="1" t="n">
        <f aca="false">Master!$C$20*SIN(RADIANS(A37))</f>
        <v>-0.750000000000001</v>
      </c>
      <c r="C37" s="1" t="n">
        <f aca="false">Master!$C$20*COS(RADIANS(A37))</f>
        <v>1.29903810567666</v>
      </c>
    </row>
    <row r="38" customFormat="false" ht="15" hidden="false" customHeight="true" outlineLevel="0" collapsed="false">
      <c r="A38" s="1" t="n">
        <v>340</v>
      </c>
      <c r="B38" s="1" t="n">
        <f aca="false">Master!$C$20*SIN(RADIANS(A38))</f>
        <v>-0.513030214988504</v>
      </c>
      <c r="C38" s="1" t="n">
        <f aca="false">Master!$C$20*COS(RADIANS(A38))</f>
        <v>1.40953893117886</v>
      </c>
    </row>
    <row r="39" customFormat="false" ht="15" hidden="false" customHeight="true" outlineLevel="0" collapsed="false">
      <c r="A39" s="1" t="n">
        <v>350</v>
      </c>
      <c r="B39" s="1" t="n">
        <f aca="false">Master!$C$20*SIN(RADIANS(A39))</f>
        <v>-0.260472266500396</v>
      </c>
      <c r="C39" s="1" t="n">
        <f aca="false">Master!$C$20*COS(RADIANS(A39))</f>
        <v>1.47721162951831</v>
      </c>
    </row>
    <row r="40" customFormat="false" ht="15" hidden="false" customHeight="true" outlineLevel="0" collapsed="false">
      <c r="A40" s="1" t="n">
        <v>360</v>
      </c>
      <c r="B40" s="1" t="n">
        <f aca="false">Master!$C$20*SIN(RADIANS(A40))</f>
        <v>-3.67394039744206E-016</v>
      </c>
      <c r="C40" s="1" t="n">
        <f aca="false">Master!$C$20*COS(RADIANS(A40))</f>
        <v>1.5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2026-10-08T15:11:16Z</dcterms:created>
  <dc:creator>openpyxl</dc:creator>
  <dc:description/>
  <dc:language>en-US</dc:language>
  <cp:lastModifiedBy/>
  <dcterms:modified xsi:type="dcterms:W3CDTF">2026-10-08T15:11:20Z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