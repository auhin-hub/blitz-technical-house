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1. Mist daily\1. FSAE\Calculators\"/>
    </mc:Choice>
  </mc:AlternateContent>
  <xr:revisionPtr revIDLastSave="0" documentId="13_ncr:1_{18464501-EB1E-4AEE-8BDC-372825F7EA03}" xr6:coauthVersionLast="47" xr6:coauthVersionMax="47" xr10:uidLastSave="{00000000-0000-0000-0000-000000000000}"/>
  <bookViews>
    <workbookView xWindow="-120" yWindow="-120" windowWidth="24240" windowHeight="13140" tabRatio="885" xr2:uid="{00000000-000D-0000-FFFF-FFFF00000000}"/>
  </bookViews>
  <sheets>
    <sheet name="Veh. Parameters" sheetId="5" r:id="rId1"/>
    <sheet name="Tyre Char." sheetId="25" r:id="rId2"/>
    <sheet name="Front Braking" sheetId="1" r:id="rId3"/>
    <sheet name="Rear Braking" sheetId="18" r:id="rId4"/>
    <sheet name="Pedal Char." sheetId="29" r:id="rId5"/>
    <sheet name="Dec. Graph" sheetId="20" r:id="rId6"/>
    <sheet name="Rolling or Skidding" sheetId="19" r:id="rId7"/>
    <sheet name="TYRE-PACEJKA" sheetId="39" state="hidden" r:id="rId8"/>
    <sheet name="Brake Bias Calc." sheetId="2" r:id="rId9"/>
    <sheet name="Force vs Slip" sheetId="44" r:id="rId10"/>
    <sheet name="Force Graphs" sheetId="41" r:id="rId11"/>
    <sheet name="Force Graphs 2" sheetId="42" r:id="rId12"/>
    <sheet name="Brake Bias Graph" sheetId="10" r:id="rId13"/>
  </sheets>
  <definedNames>
    <definedName name="_sr02">#REF!</definedName>
    <definedName name="_sr1">#REF!</definedName>
    <definedName name="ABS">#REF!</definedName>
    <definedName name="appendixa">#REF!</definedName>
    <definedName name="appendixb">#REF!</definedName>
    <definedName name="appendixc">#REF!</definedName>
    <definedName name="biasbar">'Pedal Char.'!$B$8</definedName>
    <definedName name="brakebiasfr">#REF!</definedName>
    <definedName name="braketorque">'Front Braking'!$B$31</definedName>
    <definedName name="brakometer">'Pedal Char.'!$A$36</definedName>
    <definedName name="coeffload">#REF!</definedName>
    <definedName name="coeffslipratio">#REF!</definedName>
    <definedName name="decel">#REF!</definedName>
    <definedName name="disclaimer">#REF!</definedName>
    <definedName name="feedback">#REF!</definedName>
    <definedName name="frontbrakes">'Front Braking'!$B$2</definedName>
    <definedName name="index">#REF!</definedName>
    <definedName name="initialbraking">#REF!</definedName>
    <definedName name="legend">#REF!</definedName>
    <definedName name="modelassume">#REF!</definedName>
    <definedName name="modelexplain">#REF!</definedName>
    <definedName name="muestimate">'Pedal Char.'!$B$18</definedName>
    <definedName name="normbrakeforce">#REF!</definedName>
    <definedName name="olleybias">'Pedal Char.'!$D$19</definedName>
    <definedName name="olleymodel">'Brake Bias Calc.'!$B$2</definedName>
    <definedName name="optimumsr">#REF!</definedName>
    <definedName name="optsr">#REF!</definedName>
    <definedName name="oscillation">#REF!</definedName>
    <definedName name="pedalgain">#REF!</definedName>
    <definedName name="polyaccuracy">#REF!</definedName>
    <definedName name="polymax">#REF!</definedName>
    <definedName name="polyplot">#REF!</definedName>
    <definedName name="polyprocedure">#REF!</definedName>
    <definedName name="polyupdate">#REF!</definedName>
    <definedName name="_xlnm.Print_Area" localSheetId="4">'Pedal Char.'!$A$1:$J$44</definedName>
    <definedName name="quickguide">#REF!</definedName>
    <definedName name="refBenzing">#REF!</definedName>
    <definedName name="references">#REF!</definedName>
    <definedName name="refOlley">#REF!</definedName>
    <definedName name="refPacejka">#REF!</definedName>
    <definedName name="refRCVD">#REF!</definedName>
    <definedName name="refRouelle">#REF!</definedName>
    <definedName name="roadcondition">'Tyre Char.'!$C$35:$E$35</definedName>
    <definedName name="slipratio">#REF!</definedName>
    <definedName name="solver_adj" localSheetId="6" hidden="1">'Rolling or Skidding'!$D$50</definedName>
    <definedName name="solver_cvg" localSheetId="6" hidden="1">0.0001</definedName>
    <definedName name="solver_drv" localSheetId="6" hidden="1">1</definedName>
    <definedName name="solver_est" localSheetId="6" hidden="1">1</definedName>
    <definedName name="solver_itr" localSheetId="6" hidden="1">100</definedName>
    <definedName name="solver_lhs1" localSheetId="6" hidden="1">'Rolling or Skidding'!$D$50</definedName>
    <definedName name="solver_lhs2" localSheetId="6" hidden="1">'Rolling or Skidding'!$D$50</definedName>
    <definedName name="solver_lin" localSheetId="6" hidden="1">2</definedName>
    <definedName name="solver_neg" localSheetId="6" hidden="1">2</definedName>
    <definedName name="solver_num" localSheetId="6" hidden="1">2</definedName>
    <definedName name="solver_nwt" localSheetId="6" hidden="1">1</definedName>
    <definedName name="solver_opt" localSheetId="6" hidden="1">'Rolling or Skidding'!$E$46</definedName>
    <definedName name="solver_pre" localSheetId="6" hidden="1">0.000001</definedName>
    <definedName name="solver_rel1" localSheetId="6" hidden="1">3</definedName>
    <definedName name="solver_rel2" localSheetId="6" hidden="1">1</definedName>
    <definedName name="solver_rhs1" localSheetId="6" hidden="1">0</definedName>
    <definedName name="solver_rhs2" localSheetId="6" hidden="1">20</definedName>
    <definedName name="solver_scl" localSheetId="6" hidden="1">2</definedName>
    <definedName name="solver_sho" localSheetId="6" hidden="1">2</definedName>
    <definedName name="solver_tim" localSheetId="6" hidden="1">100</definedName>
    <definedName name="solver_tol" localSheetId="6" hidden="1">0.05</definedName>
    <definedName name="solver_typ" localSheetId="6" hidden="1">1</definedName>
    <definedName name="solver_val" localSheetId="6" hidden="1">0</definedName>
    <definedName name="status">'Rolling or Skidding'!$C$10</definedName>
    <definedName name="surface">#REF!</definedName>
    <definedName name="terms">#REF!</definedName>
    <definedName name="termsandconditions">#REF!</definedName>
    <definedName name="thankyou">#REF!</definedName>
    <definedName name="tractioncoeff">#REF!</definedName>
    <definedName name="typecompound">'Tyre Char.'!$B$36:$B$41</definedName>
    <definedName name="tyrecompound">#REF!</definedName>
    <definedName name="tyrediscrete">'Tyre Char.'!$B$34</definedName>
    <definedName name="tyregrip">'Rolling or Skidding'!$C$9</definedName>
    <definedName name="tyremodel">#REF!</definedName>
    <definedName name="tyrepacejka">'Tyre Char.'!$B$13</definedName>
    <definedName name="tyres">'Tyre Char.'!$B$5</definedName>
    <definedName name="tyreskid">#REF!</definedName>
    <definedName name="tyretype">#REF!</definedName>
    <definedName name="tyretypesize">#REF!</definedName>
    <definedName name="vehicle">'Veh. Parameters'!$B$10</definedName>
    <definedName name="vehspeed">#REF!</definedName>
    <definedName name="vertload">#REF!</definedName>
    <definedName name="wttransf">#REF!</definedName>
    <definedName name="wttransfer">'Rolling or Skidding'!$C$47</definedName>
  </definedNames>
  <calcPr calcId="181029"/>
</workbook>
</file>

<file path=xl/calcChain.xml><?xml version="1.0" encoding="utf-8"?>
<calcChain xmlns="http://schemas.openxmlformats.org/spreadsheetml/2006/main">
  <c r="D4" i="2" l="1"/>
  <c r="B10" i="39"/>
  <c r="C10" i="39"/>
  <c r="D10" i="39"/>
  <c r="E10" i="39"/>
  <c r="E11" i="39" s="1"/>
  <c r="E14" i="39" s="1"/>
  <c r="F10" i="39"/>
  <c r="F11" i="39" s="1"/>
  <c r="F14" i="39" s="1"/>
  <c r="G10" i="39"/>
  <c r="H10" i="39"/>
  <c r="I10" i="39"/>
  <c r="I11" i="39" s="1"/>
  <c r="I14" i="39" s="1"/>
  <c r="J10" i="39"/>
  <c r="J11" i="39" s="1"/>
  <c r="J14" i="39" s="1"/>
  <c r="K10" i="39"/>
  <c r="K11" i="39" s="1"/>
  <c r="K14" i="39" s="1"/>
  <c r="L10" i="39"/>
  <c r="M10" i="39"/>
  <c r="N10" i="39"/>
  <c r="N11" i="39" s="1"/>
  <c r="N14" i="39" s="1"/>
  <c r="O10" i="39"/>
  <c r="O11" i="39" s="1"/>
  <c r="O14" i="39" s="1"/>
  <c r="P10" i="39"/>
  <c r="Q10" i="39"/>
  <c r="R10" i="39"/>
  <c r="S10" i="39"/>
  <c r="T10" i="39"/>
  <c r="U10" i="39"/>
  <c r="U11" i="39" s="1"/>
  <c r="U14" i="39" s="1"/>
  <c r="V10" i="39"/>
  <c r="V11" i="39" s="1"/>
  <c r="V14" i="39" s="1"/>
  <c r="W10" i="39"/>
  <c r="X10" i="39"/>
  <c r="Y10" i="39"/>
  <c r="Y11" i="39" s="1"/>
  <c r="Y14" i="39" s="1"/>
  <c r="Z10" i="39"/>
  <c r="Z11" i="39" s="1"/>
  <c r="Z14" i="39" s="1"/>
  <c r="B11" i="39"/>
  <c r="B14" i="39" s="1"/>
  <c r="C11" i="39"/>
  <c r="D11" i="39"/>
  <c r="G11" i="39"/>
  <c r="G14" i="39" s="1"/>
  <c r="H11" i="39"/>
  <c r="H14" i="39" s="1"/>
  <c r="L11" i="39"/>
  <c r="L14" i="39" s="1"/>
  <c r="M11" i="39"/>
  <c r="M14" i="39" s="1"/>
  <c r="P11" i="39"/>
  <c r="Q11" i="39"/>
  <c r="Q14" i="39" s="1"/>
  <c r="R11" i="39"/>
  <c r="R14" i="39" s="1"/>
  <c r="S11" i="39"/>
  <c r="T11" i="39"/>
  <c r="W11" i="39"/>
  <c r="W14" i="39" s="1"/>
  <c r="X11" i="39"/>
  <c r="X14" i="39" s="1"/>
  <c r="B13" i="39"/>
  <c r="C13" i="39"/>
  <c r="D13" i="39"/>
  <c r="E13" i="39"/>
  <c r="F13" i="39"/>
  <c r="G13" i="39"/>
  <c r="H13" i="39"/>
  <c r="I13" i="39"/>
  <c r="J13" i="39"/>
  <c r="K13" i="39"/>
  <c r="L13" i="39"/>
  <c r="M13" i="39"/>
  <c r="N13" i="39"/>
  <c r="O13" i="39"/>
  <c r="P13" i="39"/>
  <c r="Q13" i="39"/>
  <c r="R13" i="39"/>
  <c r="S13" i="39"/>
  <c r="T13" i="39"/>
  <c r="U13" i="39"/>
  <c r="V13" i="39"/>
  <c r="W13" i="39"/>
  <c r="X13" i="39"/>
  <c r="Y13" i="39"/>
  <c r="Z13" i="39"/>
  <c r="C14" i="39"/>
  <c r="D14" i="39"/>
  <c r="P14" i="39"/>
  <c r="S14" i="39"/>
  <c r="T14" i="39"/>
  <c r="C15" i="39"/>
  <c r="D15" i="39"/>
  <c r="E15" i="39"/>
  <c r="F15" i="39"/>
  <c r="G15" i="39"/>
  <c r="H15" i="39"/>
  <c r="I15" i="39"/>
  <c r="J15" i="39"/>
  <c r="K15" i="39"/>
  <c r="L15" i="39"/>
  <c r="M15" i="39"/>
  <c r="N15" i="39"/>
  <c r="O15" i="39"/>
  <c r="P15" i="39"/>
  <c r="Q15" i="39"/>
  <c r="R15" i="39"/>
  <c r="S15" i="39"/>
  <c r="T15" i="39"/>
  <c r="U15" i="39"/>
  <c r="V15" i="39"/>
  <c r="W15" i="39"/>
  <c r="X15" i="39"/>
  <c r="Y15" i="39"/>
  <c r="Z15" i="39"/>
  <c r="B16" i="39"/>
  <c r="C16" i="39" s="1"/>
  <c r="D16" i="39" s="1"/>
  <c r="E16" i="39" s="1"/>
  <c r="F16" i="39" s="1"/>
  <c r="G16" i="39" s="1"/>
  <c r="H16" i="39" s="1"/>
  <c r="I16" i="39" s="1"/>
  <c r="J16" i="39" s="1"/>
  <c r="K16" i="39" s="1"/>
  <c r="L16" i="39" s="1"/>
  <c r="M16" i="39" s="1"/>
  <c r="N16" i="39" s="1"/>
  <c r="O16" i="39" s="1"/>
  <c r="P16" i="39" s="1"/>
  <c r="Q16" i="39" s="1"/>
  <c r="R16" i="39" s="1"/>
  <c r="S16" i="39" s="1"/>
  <c r="T16" i="39" s="1"/>
  <c r="U16" i="39" s="1"/>
  <c r="V16" i="39" s="1"/>
  <c r="W16" i="39" s="1"/>
  <c r="X16" i="39" s="1"/>
  <c r="Y16" i="39" s="1"/>
  <c r="Z16" i="39" s="1"/>
  <c r="B17" i="39"/>
  <c r="C17" i="39"/>
  <c r="D17" i="39"/>
  <c r="E17" i="39"/>
  <c r="F17" i="39"/>
  <c r="G17" i="39"/>
  <c r="H17" i="39"/>
  <c r="I17" i="39"/>
  <c r="J17" i="39"/>
  <c r="K17" i="39"/>
  <c r="L17" i="39"/>
  <c r="M17" i="39"/>
  <c r="N17" i="39"/>
  <c r="O17" i="39"/>
  <c r="P17" i="39"/>
  <c r="Q17" i="39"/>
  <c r="R17" i="39"/>
  <c r="S17" i="39"/>
  <c r="T17" i="39"/>
  <c r="U17" i="39"/>
  <c r="V17" i="39"/>
  <c r="W17" i="39"/>
  <c r="X17" i="39"/>
  <c r="Y17" i="39"/>
  <c r="Z17" i="39"/>
  <c r="B23" i="39"/>
  <c r="C23" i="39"/>
  <c r="D23" i="39"/>
  <c r="E23" i="39"/>
  <c r="F23" i="39"/>
  <c r="G23" i="39"/>
  <c r="H23" i="39"/>
  <c r="I23" i="39"/>
  <c r="J23" i="39"/>
  <c r="K23" i="39"/>
  <c r="L23" i="39"/>
  <c r="M23" i="39"/>
  <c r="N23" i="39"/>
  <c r="O23" i="39"/>
  <c r="P23" i="39"/>
  <c r="Q23" i="39"/>
  <c r="R23" i="39"/>
  <c r="S23" i="39"/>
  <c r="T23" i="39"/>
  <c r="U23" i="39"/>
  <c r="V23" i="39"/>
  <c r="W23" i="39"/>
  <c r="X23" i="39"/>
  <c r="Y23" i="39"/>
  <c r="Z23" i="39"/>
  <c r="B24" i="39"/>
  <c r="C24" i="39"/>
  <c r="D24" i="39"/>
  <c r="E24" i="39"/>
  <c r="F24" i="39"/>
  <c r="G24" i="39"/>
  <c r="H24" i="39"/>
  <c r="I24" i="39"/>
  <c r="J24" i="39"/>
  <c r="K24" i="39"/>
  <c r="L24" i="39"/>
  <c r="M24" i="39"/>
  <c r="N24" i="39"/>
  <c r="O24" i="39"/>
  <c r="P24" i="39"/>
  <c r="Q24" i="39"/>
  <c r="R24" i="39"/>
  <c r="S24" i="39"/>
  <c r="T24" i="39"/>
  <c r="U24" i="39"/>
  <c r="V24" i="39"/>
  <c r="W24" i="39"/>
  <c r="X24" i="39"/>
  <c r="Y24" i="39"/>
  <c r="Z24" i="39"/>
  <c r="B29" i="39"/>
  <c r="C29" i="39"/>
  <c r="D29" i="39"/>
  <c r="E29" i="39"/>
  <c r="F29" i="39"/>
  <c r="F30" i="39" s="1"/>
  <c r="F33" i="39" s="1"/>
  <c r="G29" i="39"/>
  <c r="H29" i="39"/>
  <c r="I29" i="39"/>
  <c r="I30" i="39" s="1"/>
  <c r="I33" i="39" s="1"/>
  <c r="J29" i="39"/>
  <c r="J30" i="39" s="1"/>
  <c r="J33" i="39" s="1"/>
  <c r="K29" i="39"/>
  <c r="K30" i="39" s="1"/>
  <c r="K33" i="39" s="1"/>
  <c r="L29" i="39"/>
  <c r="M29" i="39"/>
  <c r="N29" i="39"/>
  <c r="N30" i="39" s="1"/>
  <c r="N33" i="39" s="1"/>
  <c r="O29" i="39"/>
  <c r="O30" i="39" s="1"/>
  <c r="O33" i="39" s="1"/>
  <c r="P29" i="39"/>
  <c r="Q29" i="39"/>
  <c r="R29" i="39"/>
  <c r="S29" i="39"/>
  <c r="T29" i="39"/>
  <c r="U29" i="39"/>
  <c r="V29" i="39"/>
  <c r="V30" i="39" s="1"/>
  <c r="V33" i="39" s="1"/>
  <c r="W29" i="39"/>
  <c r="X29" i="39"/>
  <c r="Y29" i="39"/>
  <c r="Y30" i="39" s="1"/>
  <c r="Y33" i="39" s="1"/>
  <c r="Z29" i="39"/>
  <c r="Z30" i="39" s="1"/>
  <c r="Z33" i="39" s="1"/>
  <c r="B30" i="39"/>
  <c r="B33" i="39" s="1"/>
  <c r="C30" i="39"/>
  <c r="D30" i="39"/>
  <c r="E30" i="39"/>
  <c r="E33" i="39" s="1"/>
  <c r="G30" i="39"/>
  <c r="G33" i="39" s="1"/>
  <c r="H30" i="39"/>
  <c r="H33" i="39" s="1"/>
  <c r="L30" i="39"/>
  <c r="L33" i="39" s="1"/>
  <c r="M30" i="39"/>
  <c r="M33" i="39" s="1"/>
  <c r="P30" i="39"/>
  <c r="Q30" i="39"/>
  <c r="Q33" i="39" s="1"/>
  <c r="R30" i="39"/>
  <c r="R33" i="39" s="1"/>
  <c r="S30" i="39"/>
  <c r="T30" i="39"/>
  <c r="U30" i="39"/>
  <c r="U33" i="39" s="1"/>
  <c r="W30" i="39"/>
  <c r="W33" i="39" s="1"/>
  <c r="X30" i="39"/>
  <c r="X33" i="39" s="1"/>
  <c r="B32" i="39"/>
  <c r="C32" i="39"/>
  <c r="D32" i="39"/>
  <c r="E32" i="39"/>
  <c r="F32" i="39"/>
  <c r="G32" i="39"/>
  <c r="H32" i="39"/>
  <c r="I32" i="39"/>
  <c r="J32" i="39"/>
  <c r="K32" i="39"/>
  <c r="L32" i="39"/>
  <c r="M32" i="39"/>
  <c r="N32" i="39"/>
  <c r="O32" i="39"/>
  <c r="P32" i="39"/>
  <c r="Q32" i="39"/>
  <c r="R32" i="39"/>
  <c r="S32" i="39"/>
  <c r="T32" i="39"/>
  <c r="U32" i="39"/>
  <c r="V32" i="39"/>
  <c r="W32" i="39"/>
  <c r="X32" i="39"/>
  <c r="Y32" i="39"/>
  <c r="Z32" i="39"/>
  <c r="C33" i="39"/>
  <c r="D33" i="39"/>
  <c r="P33" i="39"/>
  <c r="S33" i="39"/>
  <c r="T33" i="39"/>
  <c r="C34" i="39"/>
  <c r="D34" i="39"/>
  <c r="E34" i="39"/>
  <c r="F34" i="39"/>
  <c r="G34" i="39"/>
  <c r="H34" i="39"/>
  <c r="I34" i="39"/>
  <c r="J34" i="39"/>
  <c r="K34" i="39"/>
  <c r="L34" i="39"/>
  <c r="M34" i="39"/>
  <c r="N34" i="39"/>
  <c r="O34" i="39"/>
  <c r="P34" i="39"/>
  <c r="Q34" i="39"/>
  <c r="R34" i="39"/>
  <c r="S34" i="39"/>
  <c r="T34" i="39"/>
  <c r="U34" i="39"/>
  <c r="V34" i="39"/>
  <c r="W34" i="39"/>
  <c r="X34" i="39"/>
  <c r="Y34" i="39"/>
  <c r="Z34" i="39"/>
  <c r="B35" i="39"/>
  <c r="C35" i="39" s="1"/>
  <c r="D35" i="39" s="1"/>
  <c r="E35" i="39" s="1"/>
  <c r="F35" i="39" s="1"/>
  <c r="G35" i="39" s="1"/>
  <c r="H35" i="39" s="1"/>
  <c r="I35" i="39" s="1"/>
  <c r="J35" i="39" s="1"/>
  <c r="K35" i="39" s="1"/>
  <c r="L35" i="39" s="1"/>
  <c r="M35" i="39" s="1"/>
  <c r="N35" i="39" s="1"/>
  <c r="O35" i="39" s="1"/>
  <c r="P35" i="39" s="1"/>
  <c r="Q35" i="39" s="1"/>
  <c r="R35" i="39" s="1"/>
  <c r="S35" i="39" s="1"/>
  <c r="T35" i="39" s="1"/>
  <c r="U35" i="39" s="1"/>
  <c r="V35" i="39" s="1"/>
  <c r="W35" i="39" s="1"/>
  <c r="X35" i="39" s="1"/>
  <c r="Y35" i="39" s="1"/>
  <c r="Z35" i="39" s="1"/>
  <c r="B36" i="39"/>
  <c r="C36" i="39"/>
  <c r="D36" i="39"/>
  <c r="E36" i="39"/>
  <c r="F36" i="39"/>
  <c r="G36" i="39"/>
  <c r="H36" i="39"/>
  <c r="I36" i="39"/>
  <c r="J36" i="39"/>
  <c r="K36" i="39"/>
  <c r="L36" i="39"/>
  <c r="M36" i="39"/>
  <c r="N36" i="39"/>
  <c r="O36" i="39"/>
  <c r="P36" i="39"/>
  <c r="Q36" i="39"/>
  <c r="R36" i="39"/>
  <c r="S36" i="39"/>
  <c r="T36" i="39"/>
  <c r="U36" i="39"/>
  <c r="V36" i="39"/>
  <c r="W36" i="39"/>
  <c r="X36" i="39"/>
  <c r="Y36" i="39"/>
  <c r="Z36" i="39"/>
  <c r="B42" i="39"/>
  <c r="C42" i="39"/>
  <c r="D42" i="39"/>
  <c r="E42" i="39"/>
  <c r="F42" i="39"/>
  <c r="G42" i="39"/>
  <c r="H42" i="39"/>
  <c r="I42" i="39"/>
  <c r="J42" i="39"/>
  <c r="K42" i="39"/>
  <c r="L42" i="39"/>
  <c r="M42" i="39"/>
  <c r="N42" i="39"/>
  <c r="O42" i="39"/>
  <c r="P42" i="39"/>
  <c r="Q42" i="39"/>
  <c r="R42" i="39"/>
  <c r="S42" i="39"/>
  <c r="T42" i="39"/>
  <c r="U42" i="39"/>
  <c r="V42" i="39"/>
  <c r="W42" i="39"/>
  <c r="X42" i="39"/>
  <c r="Y42" i="39"/>
  <c r="Z42" i="39"/>
  <c r="B43" i="39"/>
  <c r="C43" i="39"/>
  <c r="D43" i="39"/>
  <c r="E43" i="39"/>
  <c r="F43" i="39"/>
  <c r="G43" i="39"/>
  <c r="H43" i="39"/>
  <c r="I43" i="39"/>
  <c r="J43" i="39"/>
  <c r="K43" i="39"/>
  <c r="L43" i="39"/>
  <c r="M43" i="39"/>
  <c r="N43" i="39"/>
  <c r="O43" i="39"/>
  <c r="P43" i="39"/>
  <c r="Q43" i="39"/>
  <c r="R43" i="39"/>
  <c r="S43" i="39"/>
  <c r="T43" i="39"/>
  <c r="U43" i="39"/>
  <c r="V43" i="39"/>
  <c r="W43" i="39"/>
  <c r="X43" i="39"/>
  <c r="Y43" i="39"/>
  <c r="Z43" i="39"/>
  <c r="B48" i="39"/>
  <c r="C48" i="39"/>
  <c r="D48" i="39"/>
  <c r="E48" i="39"/>
  <c r="F48" i="39"/>
  <c r="F49" i="39" s="1"/>
  <c r="F52" i="39" s="1"/>
  <c r="G48" i="39"/>
  <c r="H48" i="39"/>
  <c r="I48" i="39"/>
  <c r="I49" i="39" s="1"/>
  <c r="I52" i="39" s="1"/>
  <c r="J48" i="39"/>
  <c r="J49" i="39" s="1"/>
  <c r="J52" i="39" s="1"/>
  <c r="K48" i="39"/>
  <c r="K49" i="39" s="1"/>
  <c r="K52" i="39" s="1"/>
  <c r="L48" i="39"/>
  <c r="M48" i="39"/>
  <c r="N48" i="39"/>
  <c r="N49" i="39" s="1"/>
  <c r="N52" i="39" s="1"/>
  <c r="O48" i="39"/>
  <c r="O49" i="39" s="1"/>
  <c r="O52" i="39" s="1"/>
  <c r="P48" i="39"/>
  <c r="Q48" i="39"/>
  <c r="R48" i="39"/>
  <c r="S48" i="39"/>
  <c r="T48" i="39"/>
  <c r="U48" i="39"/>
  <c r="V48" i="39"/>
  <c r="V49" i="39" s="1"/>
  <c r="V52" i="39" s="1"/>
  <c r="W48" i="39"/>
  <c r="X48" i="39"/>
  <c r="Y48" i="39"/>
  <c r="Y49" i="39" s="1"/>
  <c r="Y52" i="39" s="1"/>
  <c r="Z48" i="39"/>
  <c r="Z49" i="39" s="1"/>
  <c r="Z52" i="39" s="1"/>
  <c r="B49" i="39"/>
  <c r="B52" i="39" s="1"/>
  <c r="C49" i="39"/>
  <c r="D49" i="39"/>
  <c r="E49" i="39"/>
  <c r="E52" i="39" s="1"/>
  <c r="G49" i="39"/>
  <c r="G52" i="39" s="1"/>
  <c r="H49" i="39"/>
  <c r="H52" i="39" s="1"/>
  <c r="L49" i="39"/>
  <c r="L52" i="39" s="1"/>
  <c r="M49" i="39"/>
  <c r="M52" i="39" s="1"/>
  <c r="P49" i="39"/>
  <c r="Q49" i="39"/>
  <c r="Q52" i="39" s="1"/>
  <c r="R49" i="39"/>
  <c r="R52" i="39" s="1"/>
  <c r="S49" i="39"/>
  <c r="T49" i="39"/>
  <c r="U49" i="39"/>
  <c r="U52" i="39" s="1"/>
  <c r="W49" i="39"/>
  <c r="W52" i="39" s="1"/>
  <c r="X49" i="39"/>
  <c r="X52" i="39" s="1"/>
  <c r="B51" i="39"/>
  <c r="C51" i="39"/>
  <c r="D51" i="39"/>
  <c r="E51" i="39"/>
  <c r="F51" i="39"/>
  <c r="G51" i="39"/>
  <c r="H51" i="39"/>
  <c r="I51" i="39"/>
  <c r="J51" i="39"/>
  <c r="K51" i="39"/>
  <c r="L51" i="39"/>
  <c r="M51" i="39"/>
  <c r="N51" i="39"/>
  <c r="O51" i="39"/>
  <c r="P51" i="39"/>
  <c r="Q51" i="39"/>
  <c r="R51" i="39"/>
  <c r="S51" i="39"/>
  <c r="T51" i="39"/>
  <c r="U51" i="39"/>
  <c r="V51" i="39"/>
  <c r="W51" i="39"/>
  <c r="X51" i="39"/>
  <c r="Y51" i="39"/>
  <c r="Z51" i="39"/>
  <c r="C52" i="39"/>
  <c r="D52" i="39"/>
  <c r="P52" i="39"/>
  <c r="S52" i="39"/>
  <c r="T52" i="39"/>
  <c r="C53" i="39"/>
  <c r="D53" i="39"/>
  <c r="E53" i="39"/>
  <c r="F53" i="39"/>
  <c r="G53" i="39"/>
  <c r="H53" i="39"/>
  <c r="I53" i="39"/>
  <c r="J53" i="39"/>
  <c r="K53" i="39"/>
  <c r="L53" i="39"/>
  <c r="M53" i="39"/>
  <c r="N53" i="39"/>
  <c r="O53" i="39"/>
  <c r="P53" i="39"/>
  <c r="Q53" i="39"/>
  <c r="R53" i="39"/>
  <c r="S53" i="39"/>
  <c r="T53" i="39"/>
  <c r="U53" i="39"/>
  <c r="V53" i="39"/>
  <c r="W53" i="39"/>
  <c r="X53" i="39"/>
  <c r="Y53" i="39"/>
  <c r="Z53" i="39"/>
  <c r="B54" i="39"/>
  <c r="C54" i="39" s="1"/>
  <c r="D54" i="39" s="1"/>
  <c r="E54" i="39" s="1"/>
  <c r="F54" i="39" s="1"/>
  <c r="G54" i="39" s="1"/>
  <c r="H54" i="39" s="1"/>
  <c r="I54" i="39" s="1"/>
  <c r="J54" i="39" s="1"/>
  <c r="K54" i="39" s="1"/>
  <c r="L54" i="39" s="1"/>
  <c r="M54" i="39" s="1"/>
  <c r="N54" i="39" s="1"/>
  <c r="O54" i="39" s="1"/>
  <c r="P54" i="39" s="1"/>
  <c r="Q54" i="39" s="1"/>
  <c r="R54" i="39" s="1"/>
  <c r="S54" i="39" s="1"/>
  <c r="T54" i="39" s="1"/>
  <c r="U54" i="39" s="1"/>
  <c r="V54" i="39" s="1"/>
  <c r="W54" i="39" s="1"/>
  <c r="X54" i="39" s="1"/>
  <c r="Y54" i="39" s="1"/>
  <c r="Z54" i="39" s="1"/>
  <c r="B55" i="39"/>
  <c r="C55" i="39"/>
  <c r="D55" i="39"/>
  <c r="E55" i="39"/>
  <c r="F55" i="39"/>
  <c r="G55" i="39"/>
  <c r="H55" i="39"/>
  <c r="I55" i="39"/>
  <c r="J55" i="39"/>
  <c r="K55" i="39"/>
  <c r="L55" i="39"/>
  <c r="M55" i="39"/>
  <c r="N55" i="39"/>
  <c r="O55" i="39"/>
  <c r="P55" i="39"/>
  <c r="Q55" i="39"/>
  <c r="R55" i="39"/>
  <c r="S55" i="39"/>
  <c r="T55" i="39"/>
  <c r="U55" i="39"/>
  <c r="V55" i="39"/>
  <c r="W55" i="39"/>
  <c r="X55" i="39"/>
  <c r="Y55" i="39"/>
  <c r="Z55" i="39"/>
  <c r="B61" i="39"/>
  <c r="C61" i="39"/>
  <c r="D61" i="39"/>
  <c r="E61" i="39"/>
  <c r="F61" i="39"/>
  <c r="G61" i="39"/>
  <c r="H61" i="39"/>
  <c r="I61" i="39"/>
  <c r="J61" i="39"/>
  <c r="K61" i="39"/>
  <c r="L61" i="39"/>
  <c r="M61" i="39"/>
  <c r="N61" i="39"/>
  <c r="O61" i="39"/>
  <c r="P61" i="39"/>
  <c r="Q61" i="39"/>
  <c r="R61" i="39"/>
  <c r="S61" i="39"/>
  <c r="T61" i="39"/>
  <c r="U61" i="39"/>
  <c r="V61" i="39"/>
  <c r="W61" i="39"/>
  <c r="X61" i="39"/>
  <c r="Y61" i="39"/>
  <c r="Z61" i="39"/>
  <c r="B62" i="39"/>
  <c r="C62" i="39"/>
  <c r="D62" i="39"/>
  <c r="E62" i="39"/>
  <c r="F62" i="39"/>
  <c r="G62" i="39"/>
  <c r="H62" i="39"/>
  <c r="I62" i="39"/>
  <c r="J62" i="39"/>
  <c r="K62" i="39"/>
  <c r="L62" i="39"/>
  <c r="M62" i="39"/>
  <c r="N62" i="39"/>
  <c r="O62" i="39"/>
  <c r="P62" i="39"/>
  <c r="Q62" i="39"/>
  <c r="R62" i="39"/>
  <c r="S62" i="39"/>
  <c r="T62" i="39"/>
  <c r="U62" i="39"/>
  <c r="V62" i="39"/>
  <c r="W62" i="39"/>
  <c r="X62" i="39"/>
  <c r="Y62" i="39"/>
  <c r="Z62" i="39"/>
  <c r="B67" i="39"/>
  <c r="C67" i="39"/>
  <c r="D67" i="39"/>
  <c r="E67" i="39"/>
  <c r="F67" i="39"/>
  <c r="F68" i="39" s="1"/>
  <c r="F71" i="39" s="1"/>
  <c r="G67" i="39"/>
  <c r="H67" i="39"/>
  <c r="I67" i="39"/>
  <c r="I68" i="39" s="1"/>
  <c r="I71" i="39" s="1"/>
  <c r="J67" i="39"/>
  <c r="J68" i="39" s="1"/>
  <c r="J71" i="39" s="1"/>
  <c r="K67" i="39"/>
  <c r="K68" i="39" s="1"/>
  <c r="K71" i="39" s="1"/>
  <c r="L67" i="39"/>
  <c r="M67" i="39"/>
  <c r="N67" i="39"/>
  <c r="N68" i="39" s="1"/>
  <c r="N71" i="39" s="1"/>
  <c r="O67" i="39"/>
  <c r="O68" i="39" s="1"/>
  <c r="O71" i="39" s="1"/>
  <c r="P67" i="39"/>
  <c r="Q67" i="39"/>
  <c r="R67" i="39"/>
  <c r="S67" i="39"/>
  <c r="T67" i="39"/>
  <c r="U67" i="39"/>
  <c r="V67" i="39"/>
  <c r="V68" i="39" s="1"/>
  <c r="V71" i="39" s="1"/>
  <c r="W67" i="39"/>
  <c r="X67" i="39"/>
  <c r="Y67" i="39"/>
  <c r="Y68" i="39" s="1"/>
  <c r="Y71" i="39" s="1"/>
  <c r="Z67" i="39"/>
  <c r="Z68" i="39" s="1"/>
  <c r="Z71" i="39" s="1"/>
  <c r="B68" i="39"/>
  <c r="B71" i="39" s="1"/>
  <c r="C68" i="39"/>
  <c r="D68" i="39"/>
  <c r="E68" i="39"/>
  <c r="E71" i="39" s="1"/>
  <c r="G68" i="39"/>
  <c r="G71" i="39" s="1"/>
  <c r="H68" i="39"/>
  <c r="H71" i="39" s="1"/>
  <c r="L68" i="39"/>
  <c r="L71" i="39" s="1"/>
  <c r="M68" i="39"/>
  <c r="M71" i="39" s="1"/>
  <c r="P68" i="39"/>
  <c r="Q68" i="39"/>
  <c r="Q71" i="39" s="1"/>
  <c r="R68" i="39"/>
  <c r="R71" i="39" s="1"/>
  <c r="S68" i="39"/>
  <c r="T68" i="39"/>
  <c r="U68" i="39"/>
  <c r="U71" i="39" s="1"/>
  <c r="W68" i="39"/>
  <c r="W71" i="39" s="1"/>
  <c r="X68" i="39"/>
  <c r="X71" i="39" s="1"/>
  <c r="B70" i="39"/>
  <c r="C70" i="39"/>
  <c r="D70" i="39"/>
  <c r="E70" i="39"/>
  <c r="F70" i="39"/>
  <c r="G70" i="39"/>
  <c r="H70" i="39"/>
  <c r="I70" i="39"/>
  <c r="J70" i="39"/>
  <c r="K70" i="39"/>
  <c r="L70" i="39"/>
  <c r="M70" i="39"/>
  <c r="N70" i="39"/>
  <c r="O70" i="39"/>
  <c r="P70" i="39"/>
  <c r="Q70" i="39"/>
  <c r="R70" i="39"/>
  <c r="S70" i="39"/>
  <c r="T70" i="39"/>
  <c r="U70" i="39"/>
  <c r="V70" i="39"/>
  <c r="W70" i="39"/>
  <c r="X70" i="39"/>
  <c r="Y70" i="39"/>
  <c r="Z70" i="39"/>
  <c r="C71" i="39"/>
  <c r="D71" i="39"/>
  <c r="P71" i="39"/>
  <c r="S71" i="39"/>
  <c r="T71" i="39"/>
  <c r="C72" i="39"/>
  <c r="D72" i="39"/>
  <c r="E72" i="39"/>
  <c r="F72" i="39"/>
  <c r="G72" i="39"/>
  <c r="H72" i="39"/>
  <c r="I72" i="39"/>
  <c r="J72" i="39"/>
  <c r="K72" i="39"/>
  <c r="L72" i="39"/>
  <c r="M72" i="39"/>
  <c r="N72" i="39"/>
  <c r="O72" i="39"/>
  <c r="P72" i="39"/>
  <c r="Q72" i="39"/>
  <c r="R72" i="39"/>
  <c r="S72" i="39"/>
  <c r="T72" i="39"/>
  <c r="U72" i="39"/>
  <c r="V72" i="39"/>
  <c r="W72" i="39"/>
  <c r="X72" i="39"/>
  <c r="Y72" i="39"/>
  <c r="Z72" i="39"/>
  <c r="B73" i="39"/>
  <c r="B74" i="39"/>
  <c r="C74" i="39"/>
  <c r="D74" i="39"/>
  <c r="E74" i="39"/>
  <c r="F74" i="39"/>
  <c r="G74" i="39"/>
  <c r="H74" i="39"/>
  <c r="I74" i="39"/>
  <c r="J74" i="39"/>
  <c r="K74" i="39"/>
  <c r="L74" i="39"/>
  <c r="M74" i="39"/>
  <c r="N74" i="39"/>
  <c r="O74" i="39"/>
  <c r="P74" i="39"/>
  <c r="Q74" i="39"/>
  <c r="R74" i="39"/>
  <c r="S74" i="39"/>
  <c r="T74" i="39"/>
  <c r="U74" i="39"/>
  <c r="V74" i="39"/>
  <c r="W74" i="39"/>
  <c r="X74" i="39"/>
  <c r="Y74" i="39"/>
  <c r="Z74" i="39"/>
  <c r="B80" i="39"/>
  <c r="C80" i="39"/>
  <c r="D80" i="39"/>
  <c r="E80" i="39"/>
  <c r="F80" i="39"/>
  <c r="G80" i="39"/>
  <c r="H80" i="39"/>
  <c r="I80" i="39"/>
  <c r="J80" i="39"/>
  <c r="K80" i="39"/>
  <c r="L80" i="39"/>
  <c r="M80" i="39"/>
  <c r="N80" i="39"/>
  <c r="O80" i="39"/>
  <c r="P80" i="39"/>
  <c r="Q80" i="39"/>
  <c r="R80" i="39"/>
  <c r="S80" i="39"/>
  <c r="T80" i="39"/>
  <c r="U80" i="39"/>
  <c r="V80" i="39"/>
  <c r="W80" i="39"/>
  <c r="X80" i="39"/>
  <c r="Y80" i="39"/>
  <c r="Z80" i="39"/>
  <c r="B81" i="39"/>
  <c r="C81" i="39"/>
  <c r="D81" i="39"/>
  <c r="E81" i="39"/>
  <c r="F81" i="39"/>
  <c r="G81" i="39"/>
  <c r="H81" i="39"/>
  <c r="I81" i="39"/>
  <c r="J81" i="39"/>
  <c r="K81" i="39"/>
  <c r="L81" i="39"/>
  <c r="M81" i="39"/>
  <c r="N81" i="39"/>
  <c r="O81" i="39"/>
  <c r="P81" i="39"/>
  <c r="Q81" i="39"/>
  <c r="R81" i="39"/>
  <c r="S81" i="39"/>
  <c r="T81" i="39"/>
  <c r="U81" i="39"/>
  <c r="V81" i="39"/>
  <c r="W81" i="39"/>
  <c r="X81" i="39"/>
  <c r="Y81" i="39"/>
  <c r="Z81" i="39"/>
  <c r="C85" i="39"/>
  <c r="D85" i="39"/>
  <c r="E85" i="39"/>
  <c r="F85" i="39"/>
  <c r="G85" i="39"/>
  <c r="H85" i="39"/>
  <c r="I85" i="39"/>
  <c r="J85" i="39"/>
  <c r="K85" i="39"/>
  <c r="L85" i="39"/>
  <c r="M85" i="39"/>
  <c r="N85" i="39"/>
  <c r="O85" i="39"/>
  <c r="P85" i="39"/>
  <c r="Q85" i="39"/>
  <c r="R85" i="39"/>
  <c r="S85" i="39"/>
  <c r="T85" i="39"/>
  <c r="U85" i="39"/>
  <c r="V85" i="39"/>
  <c r="W85" i="39"/>
  <c r="X85" i="39"/>
  <c r="Y85" i="39"/>
  <c r="Z85" i="39"/>
  <c r="B86" i="39"/>
  <c r="C86" i="39"/>
  <c r="D86" i="39"/>
  <c r="E86" i="39"/>
  <c r="F86" i="39"/>
  <c r="F87" i="39" s="1"/>
  <c r="F90" i="39" s="1"/>
  <c r="G86" i="39"/>
  <c r="H86" i="39"/>
  <c r="I86" i="39"/>
  <c r="I87" i="39" s="1"/>
  <c r="I90" i="39" s="1"/>
  <c r="J86" i="39"/>
  <c r="J87" i="39" s="1"/>
  <c r="J90" i="39" s="1"/>
  <c r="K86" i="39"/>
  <c r="K87" i="39" s="1"/>
  <c r="K90" i="39" s="1"/>
  <c r="L86" i="39"/>
  <c r="M86" i="39"/>
  <c r="N86" i="39"/>
  <c r="N87" i="39" s="1"/>
  <c r="N90" i="39" s="1"/>
  <c r="O86" i="39"/>
  <c r="O87" i="39" s="1"/>
  <c r="O90" i="39" s="1"/>
  <c r="P86" i="39"/>
  <c r="Q86" i="39"/>
  <c r="R86" i="39"/>
  <c r="S86" i="39"/>
  <c r="T86" i="39"/>
  <c r="U86" i="39"/>
  <c r="V86" i="39"/>
  <c r="V87" i="39" s="1"/>
  <c r="V90" i="39" s="1"/>
  <c r="W86" i="39"/>
  <c r="X86" i="39"/>
  <c r="Y86" i="39"/>
  <c r="Y87" i="39" s="1"/>
  <c r="Y90" i="39" s="1"/>
  <c r="Z86" i="39"/>
  <c r="Z87" i="39" s="1"/>
  <c r="Z90" i="39" s="1"/>
  <c r="B87" i="39"/>
  <c r="B90" i="39" s="1"/>
  <c r="C87" i="39"/>
  <c r="D87" i="39"/>
  <c r="E87" i="39"/>
  <c r="E90" i="39" s="1"/>
  <c r="G87" i="39"/>
  <c r="G90" i="39" s="1"/>
  <c r="H87" i="39"/>
  <c r="H90" i="39" s="1"/>
  <c r="L87" i="39"/>
  <c r="L90" i="39" s="1"/>
  <c r="M87" i="39"/>
  <c r="M90" i="39" s="1"/>
  <c r="P87" i="39"/>
  <c r="Q87" i="39"/>
  <c r="Q90" i="39" s="1"/>
  <c r="R87" i="39"/>
  <c r="R90" i="39" s="1"/>
  <c r="S87" i="39"/>
  <c r="T87" i="39"/>
  <c r="U87" i="39"/>
  <c r="U90" i="39" s="1"/>
  <c r="W87" i="39"/>
  <c r="W90" i="39" s="1"/>
  <c r="X87" i="39"/>
  <c r="X90" i="39" s="1"/>
  <c r="B89" i="39"/>
  <c r="C89" i="39"/>
  <c r="D89" i="39"/>
  <c r="E89" i="39"/>
  <c r="F89" i="39"/>
  <c r="G89" i="39"/>
  <c r="H89" i="39"/>
  <c r="I89" i="39"/>
  <c r="J89" i="39"/>
  <c r="K89" i="39"/>
  <c r="L89" i="39"/>
  <c r="M89" i="39"/>
  <c r="N89" i="39"/>
  <c r="O89" i="39"/>
  <c r="P89" i="39"/>
  <c r="Q89" i="39"/>
  <c r="R89" i="39"/>
  <c r="S89" i="39"/>
  <c r="T89" i="39"/>
  <c r="U89" i="39"/>
  <c r="V89" i="39"/>
  <c r="W89" i="39"/>
  <c r="X89" i="39"/>
  <c r="Y89" i="39"/>
  <c r="Z89" i="39"/>
  <c r="C90" i="39"/>
  <c r="D90" i="39"/>
  <c r="P90" i="39"/>
  <c r="S90" i="39"/>
  <c r="T90" i="39"/>
  <c r="C91" i="39"/>
  <c r="D91" i="39"/>
  <c r="E91" i="39"/>
  <c r="F91" i="39"/>
  <c r="G91" i="39"/>
  <c r="H91" i="39"/>
  <c r="I91" i="39"/>
  <c r="J91" i="39"/>
  <c r="K91" i="39"/>
  <c r="L91" i="39"/>
  <c r="M91" i="39"/>
  <c r="N91" i="39"/>
  <c r="O91" i="39"/>
  <c r="P91" i="39"/>
  <c r="Q91" i="39"/>
  <c r="R91" i="39"/>
  <c r="S91" i="39"/>
  <c r="T91" i="39"/>
  <c r="U91" i="39"/>
  <c r="V91" i="39"/>
  <c r="W91" i="39"/>
  <c r="X91" i="39"/>
  <c r="Y91" i="39"/>
  <c r="Z91" i="39"/>
  <c r="B92" i="39"/>
  <c r="C92" i="39" s="1"/>
  <c r="D92" i="39" s="1"/>
  <c r="E92" i="39" s="1"/>
  <c r="F92" i="39" s="1"/>
  <c r="G92" i="39" s="1"/>
  <c r="H92" i="39" s="1"/>
  <c r="I92" i="39" s="1"/>
  <c r="J92" i="39" s="1"/>
  <c r="K92" i="39" s="1"/>
  <c r="L92" i="39" s="1"/>
  <c r="M92" i="39" s="1"/>
  <c r="N92" i="39" s="1"/>
  <c r="O92" i="39" s="1"/>
  <c r="P92" i="39" s="1"/>
  <c r="Q92" i="39" s="1"/>
  <c r="R92" i="39" s="1"/>
  <c r="S92" i="39" s="1"/>
  <c r="T92" i="39" s="1"/>
  <c r="U92" i="39" s="1"/>
  <c r="V92" i="39" s="1"/>
  <c r="W92" i="39" s="1"/>
  <c r="X92" i="39" s="1"/>
  <c r="Y92" i="39" s="1"/>
  <c r="Z92" i="39" s="1"/>
  <c r="B93" i="39"/>
  <c r="C93" i="39"/>
  <c r="D93" i="39"/>
  <c r="E93" i="39"/>
  <c r="F93" i="39"/>
  <c r="G93" i="39"/>
  <c r="H93" i="39"/>
  <c r="I93" i="39"/>
  <c r="J93" i="39"/>
  <c r="K93" i="39"/>
  <c r="L93" i="39"/>
  <c r="M93" i="39"/>
  <c r="N93" i="39"/>
  <c r="O93" i="39"/>
  <c r="P93" i="39"/>
  <c r="Q93" i="39"/>
  <c r="R93" i="39"/>
  <c r="S93" i="39"/>
  <c r="T93" i="39"/>
  <c r="U93" i="39"/>
  <c r="V93" i="39"/>
  <c r="W93" i="39"/>
  <c r="X93" i="39"/>
  <c r="Y93" i="39"/>
  <c r="Z93" i="39"/>
  <c r="B99" i="39"/>
  <c r="C99" i="39"/>
  <c r="D99" i="39"/>
  <c r="E99" i="39"/>
  <c r="F99" i="39"/>
  <c r="G99" i="39"/>
  <c r="H99" i="39"/>
  <c r="I99" i="39"/>
  <c r="J99" i="39"/>
  <c r="K99" i="39"/>
  <c r="L99" i="39"/>
  <c r="M99" i="39"/>
  <c r="N99" i="39"/>
  <c r="O99" i="39"/>
  <c r="P99" i="39"/>
  <c r="Q99" i="39"/>
  <c r="R99" i="39"/>
  <c r="S99" i="39"/>
  <c r="T99" i="39"/>
  <c r="U99" i="39"/>
  <c r="V99" i="39"/>
  <c r="W99" i="39"/>
  <c r="X99" i="39"/>
  <c r="Y99" i="39"/>
  <c r="Z99" i="39"/>
  <c r="B100" i="39"/>
  <c r="C100" i="39"/>
  <c r="D100" i="39"/>
  <c r="E100" i="39"/>
  <c r="F100" i="39"/>
  <c r="G100" i="39"/>
  <c r="H100" i="39"/>
  <c r="I100" i="39"/>
  <c r="J100" i="39"/>
  <c r="K100" i="39"/>
  <c r="L100" i="39"/>
  <c r="M100" i="39"/>
  <c r="N100" i="39"/>
  <c r="O100" i="39"/>
  <c r="P100" i="39"/>
  <c r="Q100" i="39"/>
  <c r="R100" i="39"/>
  <c r="S100" i="39"/>
  <c r="T100" i="39"/>
  <c r="U100" i="39"/>
  <c r="V100" i="39"/>
  <c r="W100" i="39"/>
  <c r="X100" i="39"/>
  <c r="Y100" i="39"/>
  <c r="Z100" i="39"/>
  <c r="C103" i="39"/>
  <c r="D103" i="39"/>
  <c r="E103" i="39"/>
  <c r="F103" i="39"/>
  <c r="G103" i="39"/>
  <c r="H103" i="39"/>
  <c r="I103" i="39"/>
  <c r="J103" i="39"/>
  <c r="K103" i="39"/>
  <c r="L103" i="39"/>
  <c r="M103" i="39"/>
  <c r="N103" i="39"/>
  <c r="O103" i="39"/>
  <c r="P103" i="39"/>
  <c r="Q103" i="39"/>
  <c r="R103" i="39"/>
  <c r="S103" i="39"/>
  <c r="T103" i="39"/>
  <c r="U103" i="39"/>
  <c r="V103" i="39"/>
  <c r="W103" i="39"/>
  <c r="X103" i="39"/>
  <c r="Y103" i="39"/>
  <c r="Z103" i="39"/>
  <c r="B104" i="39"/>
  <c r="B105" i="39" s="1"/>
  <c r="B108" i="39" s="1"/>
  <c r="C104" i="39"/>
  <c r="C105" i="39" s="1"/>
  <c r="C108" i="39" s="1"/>
  <c r="D104" i="39"/>
  <c r="E104" i="39"/>
  <c r="F104" i="39"/>
  <c r="F105" i="39" s="1"/>
  <c r="F108" i="39" s="1"/>
  <c r="G104" i="39"/>
  <c r="G105" i="39" s="1"/>
  <c r="G108" i="39" s="1"/>
  <c r="H104" i="39"/>
  <c r="I104" i="39"/>
  <c r="J104" i="39"/>
  <c r="K104" i="39"/>
  <c r="L104" i="39"/>
  <c r="M104" i="39"/>
  <c r="N104" i="39"/>
  <c r="N105" i="39" s="1"/>
  <c r="N108" i="39" s="1"/>
  <c r="O104" i="39"/>
  <c r="P104" i="39"/>
  <c r="Q104" i="39"/>
  <c r="Q105" i="39" s="1"/>
  <c r="Q108" i="39" s="1"/>
  <c r="R104" i="39"/>
  <c r="R105" i="39" s="1"/>
  <c r="R108" i="39" s="1"/>
  <c r="S104" i="39"/>
  <c r="S105" i="39" s="1"/>
  <c r="S108" i="39" s="1"/>
  <c r="T104" i="39"/>
  <c r="U104" i="39"/>
  <c r="V104" i="39"/>
  <c r="V105" i="39" s="1"/>
  <c r="V108" i="39" s="1"/>
  <c r="W104" i="39"/>
  <c r="W105" i="39" s="1"/>
  <c r="W108" i="39" s="1"/>
  <c r="X104" i="39"/>
  <c r="Y104" i="39"/>
  <c r="Z104" i="39"/>
  <c r="D105" i="39"/>
  <c r="D108" i="39" s="1"/>
  <c r="E105" i="39"/>
  <c r="E108" i="39" s="1"/>
  <c r="H105" i="39"/>
  <c r="I105" i="39"/>
  <c r="I108" i="39" s="1"/>
  <c r="J105" i="39"/>
  <c r="J108" i="39" s="1"/>
  <c r="K105" i="39"/>
  <c r="L105" i="39"/>
  <c r="M105" i="39"/>
  <c r="M108" i="39" s="1"/>
  <c r="O105" i="39"/>
  <c r="O108" i="39" s="1"/>
  <c r="P105" i="39"/>
  <c r="P108" i="39" s="1"/>
  <c r="T105" i="39"/>
  <c r="T108" i="39" s="1"/>
  <c r="U105" i="39"/>
  <c r="U108" i="39" s="1"/>
  <c r="X105" i="39"/>
  <c r="Y105" i="39"/>
  <c r="Y108" i="39" s="1"/>
  <c r="Z105" i="39"/>
  <c r="Z108" i="39" s="1"/>
  <c r="B107" i="39"/>
  <c r="C107" i="39"/>
  <c r="D107" i="39"/>
  <c r="E107" i="39"/>
  <c r="F107" i="39"/>
  <c r="G107" i="39"/>
  <c r="H107" i="39"/>
  <c r="I107" i="39"/>
  <c r="J107" i="39"/>
  <c r="K107" i="39"/>
  <c r="L107" i="39"/>
  <c r="M107" i="39"/>
  <c r="N107" i="39"/>
  <c r="O107" i="39"/>
  <c r="P107" i="39"/>
  <c r="Q107" i="39"/>
  <c r="R107" i="39"/>
  <c r="S107" i="39"/>
  <c r="T107" i="39"/>
  <c r="U107" i="39"/>
  <c r="V107" i="39"/>
  <c r="W107" i="39"/>
  <c r="X107" i="39"/>
  <c r="Y107" i="39"/>
  <c r="Z107" i="39"/>
  <c r="H108" i="39"/>
  <c r="K108" i="39"/>
  <c r="L108" i="39"/>
  <c r="X108" i="39"/>
  <c r="C109" i="39"/>
  <c r="D109" i="39"/>
  <c r="E109" i="39"/>
  <c r="F109" i="39"/>
  <c r="G109" i="39"/>
  <c r="H109" i="39"/>
  <c r="I109" i="39"/>
  <c r="J109" i="39"/>
  <c r="K109" i="39"/>
  <c r="L109" i="39"/>
  <c r="M109" i="39"/>
  <c r="N109" i="39"/>
  <c r="O109" i="39"/>
  <c r="P109" i="39"/>
  <c r="Q109" i="39"/>
  <c r="R109" i="39"/>
  <c r="S109" i="39"/>
  <c r="T109" i="39"/>
  <c r="U109" i="39"/>
  <c r="V109" i="39"/>
  <c r="W109" i="39"/>
  <c r="X109" i="39"/>
  <c r="Y109" i="39"/>
  <c r="Z109" i="39"/>
  <c r="B110" i="39"/>
  <c r="C110" i="39" s="1"/>
  <c r="D110" i="39" s="1"/>
  <c r="E110" i="39" s="1"/>
  <c r="F110" i="39" s="1"/>
  <c r="G110" i="39" s="1"/>
  <c r="H110" i="39" s="1"/>
  <c r="I110" i="39" s="1"/>
  <c r="J110" i="39" s="1"/>
  <c r="K110" i="39" s="1"/>
  <c r="L110" i="39" s="1"/>
  <c r="M110" i="39" s="1"/>
  <c r="N110" i="39" s="1"/>
  <c r="O110" i="39" s="1"/>
  <c r="P110" i="39" s="1"/>
  <c r="Q110" i="39" s="1"/>
  <c r="R110" i="39" s="1"/>
  <c r="S110" i="39" s="1"/>
  <c r="T110" i="39" s="1"/>
  <c r="U110" i="39" s="1"/>
  <c r="V110" i="39" s="1"/>
  <c r="W110" i="39" s="1"/>
  <c r="X110" i="39" s="1"/>
  <c r="Y110" i="39" s="1"/>
  <c r="Z110" i="39" s="1"/>
  <c r="B111" i="39"/>
  <c r="C111" i="39"/>
  <c r="D111" i="39"/>
  <c r="E111" i="39"/>
  <c r="F111" i="39"/>
  <c r="G111" i="39"/>
  <c r="H111" i="39"/>
  <c r="I111" i="39"/>
  <c r="J111" i="39"/>
  <c r="K111" i="39"/>
  <c r="L111" i="39"/>
  <c r="M111" i="39"/>
  <c r="N111" i="39"/>
  <c r="O111" i="39"/>
  <c r="P111" i="39"/>
  <c r="Q111" i="39"/>
  <c r="R111" i="39"/>
  <c r="S111" i="39"/>
  <c r="T111" i="39"/>
  <c r="U111" i="39"/>
  <c r="V111" i="39"/>
  <c r="W111" i="39"/>
  <c r="X111" i="39"/>
  <c r="Y111" i="39"/>
  <c r="Z111" i="39"/>
  <c r="B117" i="39"/>
  <c r="C117" i="39"/>
  <c r="D117" i="39"/>
  <c r="E117" i="39"/>
  <c r="F117" i="39"/>
  <c r="G117" i="39"/>
  <c r="H117" i="39"/>
  <c r="I117" i="39"/>
  <c r="J117" i="39"/>
  <c r="K117" i="39"/>
  <c r="L117" i="39"/>
  <c r="M117" i="39"/>
  <c r="N117" i="39"/>
  <c r="O117" i="39"/>
  <c r="P117" i="39"/>
  <c r="Q117" i="39"/>
  <c r="R117" i="39"/>
  <c r="S117" i="39"/>
  <c r="T117" i="39"/>
  <c r="U117" i="39"/>
  <c r="V117" i="39"/>
  <c r="W117" i="39"/>
  <c r="X117" i="39"/>
  <c r="Y117" i="39"/>
  <c r="Z117" i="39"/>
  <c r="B118" i="39"/>
  <c r="C118" i="39"/>
  <c r="D118" i="39"/>
  <c r="E118" i="39"/>
  <c r="F118" i="39"/>
  <c r="G118" i="39"/>
  <c r="H118" i="39"/>
  <c r="I118" i="39"/>
  <c r="J118" i="39"/>
  <c r="K118" i="39"/>
  <c r="L118" i="39"/>
  <c r="M118" i="39"/>
  <c r="N118" i="39"/>
  <c r="O118" i="39"/>
  <c r="P118" i="39"/>
  <c r="Q118" i="39"/>
  <c r="R118" i="39"/>
  <c r="S118" i="39"/>
  <c r="T118" i="39"/>
  <c r="U118" i="39"/>
  <c r="V118" i="39"/>
  <c r="W118" i="39"/>
  <c r="X118" i="39"/>
  <c r="Y118" i="39"/>
  <c r="Z118" i="39"/>
  <c r="C121" i="39"/>
  <c r="D121" i="39"/>
  <c r="E121" i="39"/>
  <c r="F121" i="39"/>
  <c r="G121" i="39"/>
  <c r="H121" i="39"/>
  <c r="I121" i="39"/>
  <c r="J121" i="39"/>
  <c r="K121" i="39"/>
  <c r="L121" i="39"/>
  <c r="M121" i="39"/>
  <c r="N121" i="39"/>
  <c r="O121" i="39"/>
  <c r="P121" i="39"/>
  <c r="Q121" i="39"/>
  <c r="R121" i="39"/>
  <c r="S121" i="39"/>
  <c r="T121" i="39"/>
  <c r="U121" i="39"/>
  <c r="V121" i="39"/>
  <c r="W121" i="39"/>
  <c r="X121" i="39"/>
  <c r="Y121" i="39"/>
  <c r="Z121" i="39"/>
  <c r="B122" i="39"/>
  <c r="C122" i="39"/>
  <c r="D122" i="39"/>
  <c r="E122" i="39"/>
  <c r="F122" i="39"/>
  <c r="F123" i="39" s="1"/>
  <c r="F126" i="39" s="1"/>
  <c r="G122" i="39"/>
  <c r="H122" i="39"/>
  <c r="I122" i="39"/>
  <c r="I123" i="39" s="1"/>
  <c r="I126" i="39" s="1"/>
  <c r="J122" i="39"/>
  <c r="J123" i="39" s="1"/>
  <c r="J126" i="39" s="1"/>
  <c r="K122" i="39"/>
  <c r="K123" i="39" s="1"/>
  <c r="K126" i="39" s="1"/>
  <c r="L122" i="39"/>
  <c r="M122" i="39"/>
  <c r="N122" i="39"/>
  <c r="N123" i="39" s="1"/>
  <c r="N126" i="39" s="1"/>
  <c r="O122" i="39"/>
  <c r="O123" i="39" s="1"/>
  <c r="O126" i="39" s="1"/>
  <c r="P122" i="39"/>
  <c r="Q122" i="39"/>
  <c r="R122" i="39"/>
  <c r="S122" i="39"/>
  <c r="T122" i="39"/>
  <c r="U122" i="39"/>
  <c r="V122" i="39"/>
  <c r="V123" i="39" s="1"/>
  <c r="V126" i="39" s="1"/>
  <c r="W122" i="39"/>
  <c r="X122" i="39"/>
  <c r="Y122" i="39"/>
  <c r="Y123" i="39" s="1"/>
  <c r="Y126" i="39" s="1"/>
  <c r="Z122" i="39"/>
  <c r="Z123" i="39" s="1"/>
  <c r="Z126" i="39" s="1"/>
  <c r="B123" i="39"/>
  <c r="B126" i="39" s="1"/>
  <c r="C123" i="39"/>
  <c r="D123" i="39"/>
  <c r="E123" i="39"/>
  <c r="E126" i="39" s="1"/>
  <c r="G123" i="39"/>
  <c r="H123" i="39"/>
  <c r="H126" i="39" s="1"/>
  <c r="L123" i="39"/>
  <c r="L126" i="39" s="1"/>
  <c r="M123" i="39"/>
  <c r="M126" i="39" s="1"/>
  <c r="P123" i="39"/>
  <c r="Q123" i="39"/>
  <c r="Q126" i="39" s="1"/>
  <c r="R123" i="39"/>
  <c r="R126" i="39" s="1"/>
  <c r="S123" i="39"/>
  <c r="T123" i="39"/>
  <c r="U123" i="39"/>
  <c r="U126" i="39" s="1"/>
  <c r="W123" i="39"/>
  <c r="X123" i="39"/>
  <c r="X126" i="39" s="1"/>
  <c r="B125" i="39"/>
  <c r="C125" i="39"/>
  <c r="D125" i="39"/>
  <c r="E125" i="39"/>
  <c r="F125" i="39"/>
  <c r="G125" i="39"/>
  <c r="H125" i="39"/>
  <c r="I125" i="39"/>
  <c r="J125" i="39"/>
  <c r="K125" i="39"/>
  <c r="L125" i="39"/>
  <c r="M125" i="39"/>
  <c r="N125" i="39"/>
  <c r="O125" i="39"/>
  <c r="P125" i="39"/>
  <c r="Q125" i="39"/>
  <c r="R125" i="39"/>
  <c r="S125" i="39"/>
  <c r="T125" i="39"/>
  <c r="U125" i="39"/>
  <c r="V125" i="39"/>
  <c r="W125" i="39"/>
  <c r="X125" i="39"/>
  <c r="Y125" i="39"/>
  <c r="Z125" i="39"/>
  <c r="C126" i="39"/>
  <c r="D126" i="39"/>
  <c r="G126" i="39"/>
  <c r="P126" i="39"/>
  <c r="S126" i="39"/>
  <c r="T126" i="39"/>
  <c r="W126" i="39"/>
  <c r="C127" i="39"/>
  <c r="D127" i="39"/>
  <c r="E127" i="39"/>
  <c r="F127" i="39"/>
  <c r="G127" i="39"/>
  <c r="H127" i="39"/>
  <c r="I127" i="39"/>
  <c r="J127" i="39"/>
  <c r="K127" i="39"/>
  <c r="L127" i="39"/>
  <c r="M127" i="39"/>
  <c r="N127" i="39"/>
  <c r="O127" i="39"/>
  <c r="P127" i="39"/>
  <c r="Q127" i="39"/>
  <c r="R127" i="39"/>
  <c r="S127" i="39"/>
  <c r="T127" i="39"/>
  <c r="U127" i="39"/>
  <c r="V127" i="39"/>
  <c r="W127" i="39"/>
  <c r="X127" i="39"/>
  <c r="Y127" i="39"/>
  <c r="Z127" i="39"/>
  <c r="B128" i="39"/>
  <c r="C128" i="39" s="1"/>
  <c r="D128" i="39" s="1"/>
  <c r="E128" i="39" s="1"/>
  <c r="F128" i="39" s="1"/>
  <c r="G128" i="39" s="1"/>
  <c r="H128" i="39" s="1"/>
  <c r="I128" i="39" s="1"/>
  <c r="J128" i="39" s="1"/>
  <c r="K128" i="39" s="1"/>
  <c r="L128" i="39" s="1"/>
  <c r="M128" i="39" s="1"/>
  <c r="N128" i="39" s="1"/>
  <c r="O128" i="39" s="1"/>
  <c r="P128" i="39" s="1"/>
  <c r="Q128" i="39" s="1"/>
  <c r="R128" i="39" s="1"/>
  <c r="S128" i="39" s="1"/>
  <c r="T128" i="39" s="1"/>
  <c r="U128" i="39" s="1"/>
  <c r="V128" i="39" s="1"/>
  <c r="W128" i="39" s="1"/>
  <c r="X128" i="39" s="1"/>
  <c r="Y128" i="39" s="1"/>
  <c r="Z128" i="39" s="1"/>
  <c r="B129" i="39"/>
  <c r="C129" i="39"/>
  <c r="D129" i="39"/>
  <c r="E129" i="39"/>
  <c r="F129" i="39"/>
  <c r="G129" i="39"/>
  <c r="H129" i="39"/>
  <c r="I129" i="39"/>
  <c r="J129" i="39"/>
  <c r="K129" i="39"/>
  <c r="L129" i="39"/>
  <c r="M129" i="39"/>
  <c r="N129" i="39"/>
  <c r="O129" i="39"/>
  <c r="P129" i="39"/>
  <c r="Q129" i="39"/>
  <c r="R129" i="39"/>
  <c r="S129" i="39"/>
  <c r="T129" i="39"/>
  <c r="U129" i="39"/>
  <c r="V129" i="39"/>
  <c r="W129" i="39"/>
  <c r="X129" i="39"/>
  <c r="Y129" i="39"/>
  <c r="Z129" i="39"/>
  <c r="B135" i="39"/>
  <c r="C135" i="39"/>
  <c r="D135" i="39"/>
  <c r="E135" i="39"/>
  <c r="F135" i="39"/>
  <c r="G135" i="39"/>
  <c r="H135" i="39"/>
  <c r="I135" i="39"/>
  <c r="J135" i="39"/>
  <c r="K135" i="39"/>
  <c r="L135" i="39"/>
  <c r="M135" i="39"/>
  <c r="N135" i="39"/>
  <c r="O135" i="39"/>
  <c r="P135" i="39"/>
  <c r="Q135" i="39"/>
  <c r="R135" i="39"/>
  <c r="S135" i="39"/>
  <c r="T135" i="39"/>
  <c r="U135" i="39"/>
  <c r="V135" i="39"/>
  <c r="W135" i="39"/>
  <c r="X135" i="39"/>
  <c r="Y135" i="39"/>
  <c r="Z135" i="39"/>
  <c r="B136" i="39"/>
  <c r="C136" i="39"/>
  <c r="D136" i="39"/>
  <c r="E136" i="39"/>
  <c r="F136" i="39"/>
  <c r="G136" i="39"/>
  <c r="H136" i="39"/>
  <c r="I136" i="39"/>
  <c r="J136" i="39"/>
  <c r="K136" i="39"/>
  <c r="L136" i="39"/>
  <c r="M136" i="39"/>
  <c r="N136" i="39"/>
  <c r="O136" i="39"/>
  <c r="P136" i="39"/>
  <c r="Q136" i="39"/>
  <c r="R136" i="39"/>
  <c r="S136" i="39"/>
  <c r="T136" i="39"/>
  <c r="U136" i="39"/>
  <c r="V136" i="39"/>
  <c r="W136" i="39"/>
  <c r="X136" i="39"/>
  <c r="Y136" i="39"/>
  <c r="Z136" i="39"/>
  <c r="G9" i="29"/>
  <c r="D40" i="29"/>
  <c r="D25" i="18" s="1"/>
  <c r="D41" i="29"/>
  <c r="D42" i="29"/>
  <c r="D25" i="1" s="1"/>
  <c r="F25" i="1" s="1"/>
  <c r="D43" i="29"/>
  <c r="D21" i="18"/>
  <c r="D23" i="18"/>
  <c r="D26" i="18"/>
  <c r="F26" i="18"/>
  <c r="D21" i="1"/>
  <c r="D23" i="1"/>
  <c r="D26" i="1"/>
  <c r="F26" i="1" s="1"/>
  <c r="C42" i="25"/>
  <c r="C44" i="25" s="1"/>
  <c r="D11" i="25" s="1"/>
  <c r="D42" i="25"/>
  <c r="E42" i="25"/>
  <c r="E13" i="5"/>
  <c r="E6" i="19" s="1"/>
  <c r="E14" i="5"/>
  <c r="E15" i="19" s="1"/>
  <c r="E15" i="5"/>
  <c r="E24" i="19" s="1"/>
  <c r="B50" i="39" s="1"/>
  <c r="B56" i="39" s="1"/>
  <c r="E16" i="5"/>
  <c r="E33" i="19" s="1"/>
  <c r="E21" i="5"/>
  <c r="E22" i="5"/>
  <c r="C26" i="5"/>
  <c r="C27" i="5" s="1"/>
  <c r="C73" i="39"/>
  <c r="D73" i="39" s="1"/>
  <c r="E73" i="39" s="1"/>
  <c r="F73" i="39" s="1"/>
  <c r="G73" i="39" s="1"/>
  <c r="H73" i="39" s="1"/>
  <c r="I73" i="39" s="1"/>
  <c r="J73" i="39" s="1"/>
  <c r="K73" i="39" s="1"/>
  <c r="L73" i="39" s="1"/>
  <c r="M73" i="39" s="1"/>
  <c r="N73" i="39" s="1"/>
  <c r="O73" i="39" s="1"/>
  <c r="P73" i="39" s="1"/>
  <c r="Q73" i="39" s="1"/>
  <c r="R73" i="39" s="1"/>
  <c r="S73" i="39" s="1"/>
  <c r="T73" i="39" s="1"/>
  <c r="U73" i="39" s="1"/>
  <c r="V73" i="39" s="1"/>
  <c r="W73" i="39" s="1"/>
  <c r="X73" i="39" s="1"/>
  <c r="Y73" i="39" s="1"/>
  <c r="Z73" i="39" s="1"/>
  <c r="F27" i="1" l="1"/>
  <c r="E26" i="5"/>
  <c r="C33" i="5"/>
  <c r="B12" i="39"/>
  <c r="D42" i="19"/>
  <c r="E42" i="19"/>
  <c r="H34" i="2"/>
  <c r="H19" i="2"/>
  <c r="D7" i="2"/>
  <c r="H35" i="2"/>
  <c r="H36" i="2"/>
  <c r="H17" i="2"/>
  <c r="H18" i="2"/>
  <c r="H20" i="2"/>
  <c r="H21" i="2"/>
  <c r="H22" i="2"/>
  <c r="H23" i="2"/>
  <c r="H25" i="2"/>
  <c r="H24" i="2"/>
  <c r="H28" i="2"/>
  <c r="H26" i="2"/>
  <c r="H27" i="2"/>
  <c r="H31" i="2"/>
  <c r="H33" i="2"/>
  <c r="D20" i="29"/>
  <c r="H29" i="2"/>
  <c r="H30" i="2"/>
  <c r="H32" i="2"/>
  <c r="E24" i="5"/>
  <c r="C24" i="5" s="1"/>
  <c r="B88" i="39"/>
  <c r="C28" i="5"/>
  <c r="D8" i="2" s="1"/>
  <c r="B19" i="39"/>
  <c r="B20" i="39" s="1"/>
  <c r="B25" i="39" s="1"/>
  <c r="E7" i="19" s="1"/>
  <c r="E16" i="19" s="1"/>
  <c r="B18" i="39"/>
  <c r="B31" i="39"/>
  <c r="B37" i="39" s="1"/>
  <c r="B69" i="39"/>
  <c r="D27" i="18"/>
  <c r="D29" i="18" s="1"/>
  <c r="D30" i="18" s="1"/>
  <c r="D31" i="18" s="1"/>
  <c r="D19" i="18" s="1"/>
  <c r="F25" i="18"/>
  <c r="F27" i="18" s="1"/>
  <c r="B57" i="39"/>
  <c r="B58" i="39" s="1"/>
  <c r="B63" i="39" s="1"/>
  <c r="E25" i="19" s="1"/>
  <c r="E34" i="19" s="1"/>
  <c r="D27" i="1"/>
  <c r="D29" i="1" s="1"/>
  <c r="D30" i="1" s="1"/>
  <c r="D31" i="1" s="1"/>
  <c r="D19" i="1" s="1"/>
  <c r="E37" i="19" l="1"/>
  <c r="D13" i="2"/>
  <c r="D9" i="2" s="1"/>
  <c r="B94" i="39"/>
  <c r="C88" i="39"/>
  <c r="B95" i="39"/>
  <c r="B38" i="39"/>
  <c r="B39" i="39" s="1"/>
  <c r="B44" i="39" s="1"/>
  <c r="E8" i="19" s="1"/>
  <c r="E17" i="19" s="1"/>
  <c r="E18" i="19" s="1"/>
  <c r="E20" i="19" s="1"/>
  <c r="B75" i="39"/>
  <c r="B76" i="39"/>
  <c r="B77" i="39" s="1"/>
  <c r="E39" i="19"/>
  <c r="E30" i="19"/>
  <c r="E28" i="19"/>
  <c r="D12" i="29"/>
  <c r="E10" i="19"/>
  <c r="E19" i="19"/>
  <c r="E12" i="19"/>
  <c r="E21" i="19"/>
  <c r="B96" i="39" l="1"/>
  <c r="B101" i="39" s="1"/>
  <c r="D14" i="2"/>
  <c r="D22" i="29"/>
  <c r="D19" i="2"/>
  <c r="D21" i="2" s="1"/>
  <c r="E9" i="19"/>
  <c r="E11" i="19" s="1"/>
  <c r="D88" i="39"/>
  <c r="C95" i="39"/>
  <c r="C94" i="39"/>
  <c r="B82" i="39"/>
  <c r="E26" i="19" s="1"/>
  <c r="D22" i="2"/>
  <c r="D28" i="2" s="1"/>
  <c r="D27" i="2"/>
  <c r="E35" i="19" l="1"/>
  <c r="E36" i="19" s="1"/>
  <c r="E38" i="19" s="1"/>
  <c r="E27" i="19"/>
  <c r="C96" i="39"/>
  <c r="C101" i="39" s="1"/>
  <c r="E88" i="39"/>
  <c r="D95" i="39"/>
  <c r="D94" i="39"/>
  <c r="F4" i="2"/>
  <c r="D25" i="2" s="1"/>
  <c r="D30" i="2"/>
  <c r="D16" i="2"/>
  <c r="D24" i="2"/>
  <c r="D31" i="2"/>
  <c r="D17" i="2"/>
  <c r="E29" i="19" l="1"/>
  <c r="E43" i="19" s="1"/>
  <c r="E48" i="19" s="1"/>
  <c r="E45" i="19"/>
  <c r="D5" i="2"/>
  <c r="D96" i="39"/>
  <c r="D101" i="39" s="1"/>
  <c r="E94" i="39"/>
  <c r="F88" i="39"/>
  <c r="E95" i="39"/>
  <c r="E96" i="39" s="1"/>
  <c r="E101" i="39" s="1"/>
  <c r="F15" i="19" l="1"/>
  <c r="F6" i="19"/>
  <c r="F24" i="19"/>
  <c r="F33" i="19"/>
  <c r="G88" i="39"/>
  <c r="F94" i="39"/>
  <c r="F95" i="39"/>
  <c r="F96" i="39" s="1"/>
  <c r="F42" i="19" l="1"/>
  <c r="C50" i="39"/>
  <c r="C69" i="39"/>
  <c r="C31" i="39"/>
  <c r="C12" i="39"/>
  <c r="F101" i="39"/>
  <c r="H88" i="39"/>
  <c r="G94" i="39"/>
  <c r="G95" i="39"/>
  <c r="C75" i="39" l="1"/>
  <c r="C76" i="39"/>
  <c r="C57" i="39"/>
  <c r="C56" i="39"/>
  <c r="B124" i="39"/>
  <c r="C19" i="39"/>
  <c r="C18" i="39"/>
  <c r="B106" i="39"/>
  <c r="C38" i="39"/>
  <c r="C37" i="39"/>
  <c r="G96" i="39"/>
  <c r="G101" i="39"/>
  <c r="H95" i="39"/>
  <c r="I88" i="39"/>
  <c r="H94" i="39"/>
  <c r="C20" i="39" l="1"/>
  <c r="C25" i="39" s="1"/>
  <c r="F7" i="19" s="1"/>
  <c r="F12" i="19" s="1"/>
  <c r="C77" i="39"/>
  <c r="C82" i="39" s="1"/>
  <c r="F26" i="19" s="1"/>
  <c r="F35" i="19" s="1"/>
  <c r="B113" i="39"/>
  <c r="B112" i="39"/>
  <c r="C106" i="39"/>
  <c r="C58" i="39"/>
  <c r="C63" i="39" s="1"/>
  <c r="F25" i="19" s="1"/>
  <c r="C39" i="39"/>
  <c r="C44" i="39" s="1"/>
  <c r="F8" i="19" s="1"/>
  <c r="F17" i="19" s="1"/>
  <c r="B130" i="39"/>
  <c r="B131" i="39"/>
  <c r="C124" i="39"/>
  <c r="J88" i="39"/>
  <c r="I94" i="39"/>
  <c r="I95" i="39"/>
  <c r="I96" i="39" s="1"/>
  <c r="H96" i="39"/>
  <c r="H101" i="39" s="1"/>
  <c r="F16" i="19" l="1"/>
  <c r="F10" i="19"/>
  <c r="B132" i="39"/>
  <c r="B137" i="39" s="1"/>
  <c r="F9" i="19"/>
  <c r="F34" i="19"/>
  <c r="F30" i="19"/>
  <c r="F27" i="19"/>
  <c r="F29" i="19" s="1"/>
  <c r="F28" i="19"/>
  <c r="D106" i="39"/>
  <c r="C113" i="39"/>
  <c r="C112" i="39"/>
  <c r="C131" i="39"/>
  <c r="D124" i="39"/>
  <c r="C130" i="39"/>
  <c r="F19" i="19"/>
  <c r="F18" i="19"/>
  <c r="F20" i="19" s="1"/>
  <c r="F21" i="19"/>
  <c r="B114" i="39"/>
  <c r="B119" i="39" s="1"/>
  <c r="I101" i="39"/>
  <c r="J95" i="39"/>
  <c r="K88" i="39"/>
  <c r="J94" i="39"/>
  <c r="C132" i="39" l="1"/>
  <c r="C137" i="39" s="1"/>
  <c r="D130" i="39"/>
  <c r="D131" i="39"/>
  <c r="D132" i="39" s="1"/>
  <c r="D137" i="39" s="1"/>
  <c r="E124" i="39"/>
  <c r="C114" i="39"/>
  <c r="C119" i="39" s="1"/>
  <c r="D113" i="39"/>
  <c r="D112" i="39"/>
  <c r="E106" i="39"/>
  <c r="F36" i="19"/>
  <c r="F38" i="19" s="1"/>
  <c r="F39" i="19"/>
  <c r="F37" i="19"/>
  <c r="F11" i="19"/>
  <c r="F43" i="19" s="1"/>
  <c r="F48" i="19" s="1"/>
  <c r="J96" i="39"/>
  <c r="J101" i="39" s="1"/>
  <c r="L88" i="39"/>
  <c r="K95" i="39"/>
  <c r="K94" i="39"/>
  <c r="F45" i="19" l="1"/>
  <c r="D114" i="39"/>
  <c r="D119" i="39" s="1"/>
  <c r="E131" i="39"/>
  <c r="F124" i="39"/>
  <c r="E130" i="39"/>
  <c r="G33" i="19"/>
  <c r="G24" i="19"/>
  <c r="G6" i="19"/>
  <c r="G15" i="19"/>
  <c r="E113" i="39"/>
  <c r="E114" i="39" s="1"/>
  <c r="E112" i="39"/>
  <c r="F106" i="39"/>
  <c r="K96" i="39"/>
  <c r="K101" i="39" s="1"/>
  <c r="L94" i="39"/>
  <c r="L95" i="39"/>
  <c r="L96" i="39" s="1"/>
  <c r="M88" i="39"/>
  <c r="D50" i="39" l="1"/>
  <c r="D69" i="39"/>
  <c r="E119" i="39"/>
  <c r="G42" i="19"/>
  <c r="D31" i="39"/>
  <c r="D12" i="39"/>
  <c r="F131" i="39"/>
  <c r="F130" i="39"/>
  <c r="G124" i="39"/>
  <c r="G106" i="39"/>
  <c r="F112" i="39"/>
  <c r="F113" i="39"/>
  <c r="E132" i="39"/>
  <c r="E137" i="39" s="1"/>
  <c r="M95" i="39"/>
  <c r="M94" i="39"/>
  <c r="N88" i="39"/>
  <c r="L101" i="39"/>
  <c r="F132" i="39" l="1"/>
  <c r="F137" i="39" s="1"/>
  <c r="F114" i="39"/>
  <c r="H124" i="39"/>
  <c r="G131" i="39"/>
  <c r="G130" i="39"/>
  <c r="G113" i="39"/>
  <c r="H106" i="39"/>
  <c r="G112" i="39"/>
  <c r="D76" i="39"/>
  <c r="D75" i="39"/>
  <c r="F119" i="39"/>
  <c r="D19" i="39"/>
  <c r="D18" i="39"/>
  <c r="D38" i="39"/>
  <c r="D37" i="39"/>
  <c r="D56" i="39"/>
  <c r="D57" i="39"/>
  <c r="O88" i="39"/>
  <c r="N94" i="39"/>
  <c r="N95" i="39"/>
  <c r="N96" i="39" s="1"/>
  <c r="N101" i="39" s="1"/>
  <c r="M96" i="39"/>
  <c r="M101" i="39" s="1"/>
  <c r="D39" i="39" l="1"/>
  <c r="D44" i="39" s="1"/>
  <c r="G8" i="19" s="1"/>
  <c r="G17" i="19" s="1"/>
  <c r="D58" i="39"/>
  <c r="D63" i="39" s="1"/>
  <c r="G25" i="19" s="1"/>
  <c r="G28" i="19" s="1"/>
  <c r="G114" i="39"/>
  <c r="G119" i="39" s="1"/>
  <c r="D20" i="39"/>
  <c r="D25" i="39" s="1"/>
  <c r="G7" i="19" s="1"/>
  <c r="D77" i="39"/>
  <c r="D82" i="39" s="1"/>
  <c r="G26" i="19" s="1"/>
  <c r="G35" i="19" s="1"/>
  <c r="G132" i="39"/>
  <c r="G137" i="39" s="1"/>
  <c r="H112" i="39"/>
  <c r="I106" i="39"/>
  <c r="H113" i="39"/>
  <c r="H130" i="39"/>
  <c r="H131" i="39"/>
  <c r="I124" i="39"/>
  <c r="P88" i="39"/>
  <c r="O94" i="39"/>
  <c r="O95" i="39"/>
  <c r="H114" i="39" l="1"/>
  <c r="H119" i="39" s="1"/>
  <c r="G34" i="19"/>
  <c r="G30" i="19"/>
  <c r="H132" i="39"/>
  <c r="H137" i="39" s="1"/>
  <c r="G27" i="19"/>
  <c r="G29" i="19" s="1"/>
  <c r="G39" i="19"/>
  <c r="G36" i="19"/>
  <c r="G38" i="19" s="1"/>
  <c r="G37" i="19"/>
  <c r="I113" i="39"/>
  <c r="J106" i="39"/>
  <c r="I112" i="39"/>
  <c r="G16" i="19"/>
  <c r="G12" i="19"/>
  <c r="G9" i="19"/>
  <c r="G10" i="19"/>
  <c r="I130" i="39"/>
  <c r="I131" i="39"/>
  <c r="J124" i="39"/>
  <c r="O96" i="39"/>
  <c r="O101" i="39" s="1"/>
  <c r="P94" i="39"/>
  <c r="P95" i="39"/>
  <c r="Q88" i="39"/>
  <c r="I132" i="39" l="1"/>
  <c r="I137" i="39" s="1"/>
  <c r="I114" i="39"/>
  <c r="I119" i="39" s="1"/>
  <c r="K124" i="39"/>
  <c r="J131" i="39"/>
  <c r="J130" i="39"/>
  <c r="G21" i="19"/>
  <c r="G19" i="19"/>
  <c r="G18" i="19"/>
  <c r="G20" i="19" s="1"/>
  <c r="G11" i="19"/>
  <c r="J112" i="39"/>
  <c r="J113" i="39"/>
  <c r="K106" i="39"/>
  <c r="P96" i="39"/>
  <c r="P101" i="39" s="1"/>
  <c r="Q94" i="39"/>
  <c r="Q95" i="39"/>
  <c r="Q96" i="39" s="1"/>
  <c r="Q101" i="39" s="1"/>
  <c r="R88" i="39"/>
  <c r="J114" i="39" l="1"/>
  <c r="J119" i="39" s="1"/>
  <c r="J132" i="39"/>
  <c r="J137" i="39" s="1"/>
  <c r="G45" i="19"/>
  <c r="L124" i="39"/>
  <c r="K131" i="39"/>
  <c r="K130" i="39"/>
  <c r="K112" i="39"/>
  <c r="K113" i="39"/>
  <c r="K114" i="39" s="1"/>
  <c r="K119" i="39" s="1"/>
  <c r="L106" i="39"/>
  <c r="G43" i="19"/>
  <c r="G48" i="19" s="1"/>
  <c r="S88" i="39"/>
  <c r="R94" i="39"/>
  <c r="R95" i="39"/>
  <c r="R96" i="39" s="1"/>
  <c r="H24" i="19" l="1"/>
  <c r="H33" i="19"/>
  <c r="H6" i="19"/>
  <c r="H15" i="19"/>
  <c r="L112" i="39"/>
  <c r="M106" i="39"/>
  <c r="L113" i="39"/>
  <c r="L114" i="39" s="1"/>
  <c r="L119" i="39" s="1"/>
  <c r="K132" i="39"/>
  <c r="K137" i="39" s="1"/>
  <c r="L131" i="39"/>
  <c r="L130" i="39"/>
  <c r="M124" i="39"/>
  <c r="R101" i="39"/>
  <c r="S94" i="39"/>
  <c r="T88" i="39"/>
  <c r="S95" i="39"/>
  <c r="S96" i="39" s="1"/>
  <c r="N124" i="39" l="1"/>
  <c r="M130" i="39"/>
  <c r="M131" i="39"/>
  <c r="M132" i="39" s="1"/>
  <c r="M137" i="39" s="1"/>
  <c r="L132" i="39"/>
  <c r="L137" i="39" s="1"/>
  <c r="N106" i="39"/>
  <c r="M113" i="39"/>
  <c r="M112" i="39"/>
  <c r="E31" i="39"/>
  <c r="H42" i="19"/>
  <c r="E12" i="39"/>
  <c r="E69" i="39"/>
  <c r="E50" i="39"/>
  <c r="T95" i="39"/>
  <c r="U88" i="39"/>
  <c r="T94" i="39"/>
  <c r="S101" i="39"/>
  <c r="M114" i="39" l="1"/>
  <c r="M119" i="39" s="1"/>
  <c r="E76" i="39"/>
  <c r="E75" i="39"/>
  <c r="E57" i="39"/>
  <c r="E56" i="39"/>
  <c r="E18" i="39"/>
  <c r="E19" i="39"/>
  <c r="E20" i="39" s="1"/>
  <c r="E25" i="39" s="1"/>
  <c r="H7" i="19" s="1"/>
  <c r="E37" i="39"/>
  <c r="E38" i="39"/>
  <c r="E39" i="39" s="1"/>
  <c r="N113" i="39"/>
  <c r="O106" i="39"/>
  <c r="N112" i="39"/>
  <c r="O124" i="39"/>
  <c r="N131" i="39"/>
  <c r="N130" i="39"/>
  <c r="U95" i="39"/>
  <c r="U94" i="39"/>
  <c r="V88" i="39"/>
  <c r="T96" i="39"/>
  <c r="T101" i="39" s="1"/>
  <c r="N132" i="39" l="1"/>
  <c r="N137" i="39" s="1"/>
  <c r="E77" i="39"/>
  <c r="E82" i="39" s="1"/>
  <c r="H26" i="19" s="1"/>
  <c r="H35" i="19" s="1"/>
  <c r="O112" i="39"/>
  <c r="P106" i="39"/>
  <c r="O113" i="39"/>
  <c r="O114" i="39" s="1"/>
  <c r="O119" i="39" s="1"/>
  <c r="E58" i="39"/>
  <c r="E63" i="39" s="1"/>
  <c r="H25" i="19" s="1"/>
  <c r="O130" i="39"/>
  <c r="P124" i="39"/>
  <c r="O131" i="39"/>
  <c r="O132" i="39" s="1"/>
  <c r="N114" i="39"/>
  <c r="N119" i="39" s="1"/>
  <c r="E44" i="39"/>
  <c r="H8" i="19" s="1"/>
  <c r="H17" i="19" s="1"/>
  <c r="H12" i="19"/>
  <c r="H16" i="19"/>
  <c r="H9" i="19"/>
  <c r="H11" i="19" s="1"/>
  <c r="H10" i="19"/>
  <c r="U96" i="39"/>
  <c r="U101" i="39" s="1"/>
  <c r="V94" i="39"/>
  <c r="V95" i="39"/>
  <c r="W88" i="39"/>
  <c r="P131" i="39" l="1"/>
  <c r="Q124" i="39"/>
  <c r="P130" i="39"/>
  <c r="H18" i="19"/>
  <c r="H20" i="19" s="1"/>
  <c r="H21" i="19"/>
  <c r="H19" i="19"/>
  <c r="Q106" i="39"/>
  <c r="P113" i="39"/>
  <c r="P112" i="39"/>
  <c r="H28" i="19"/>
  <c r="H27" i="19"/>
  <c r="H29" i="19" s="1"/>
  <c r="H30" i="19"/>
  <c r="H34" i="19"/>
  <c r="O137" i="39"/>
  <c r="V96" i="39"/>
  <c r="V101" i="39" s="1"/>
  <c r="W95" i="39"/>
  <c r="W94" i="39"/>
  <c r="X88" i="39"/>
  <c r="P114" i="39" l="1"/>
  <c r="P119" i="39" s="1"/>
  <c r="H36" i="19"/>
  <c r="H38" i="19" s="1"/>
  <c r="H43" i="19" s="1"/>
  <c r="H48" i="19" s="1"/>
  <c r="H37" i="19"/>
  <c r="H39" i="19"/>
  <c r="H45" i="19"/>
  <c r="Q131" i="39"/>
  <c r="Q130" i="39"/>
  <c r="R124" i="39"/>
  <c r="P132" i="39"/>
  <c r="P137" i="39" s="1"/>
  <c r="Q113" i="39"/>
  <c r="R106" i="39"/>
  <c r="Q112" i="39"/>
  <c r="X95" i="39"/>
  <c r="Y88" i="39"/>
  <c r="X94" i="39"/>
  <c r="W96" i="39"/>
  <c r="W101" i="39" s="1"/>
  <c r="Q114" i="39" l="1"/>
  <c r="Q119" i="39" s="1"/>
  <c r="Q132" i="39"/>
  <c r="R130" i="39"/>
  <c r="S124" i="39"/>
  <c r="R131" i="39"/>
  <c r="R132" i="39" s="1"/>
  <c r="R137" i="39" s="1"/>
  <c r="R112" i="39"/>
  <c r="S106" i="39"/>
  <c r="R113" i="39"/>
  <c r="Q137" i="39"/>
  <c r="I24" i="19"/>
  <c r="I6" i="19"/>
  <c r="I15" i="19"/>
  <c r="I33" i="19"/>
  <c r="Z88" i="39"/>
  <c r="Y94" i="39"/>
  <c r="Y95" i="39"/>
  <c r="Y96" i="39" s="1"/>
  <c r="X96" i="39"/>
  <c r="X101" i="39" s="1"/>
  <c r="R114" i="39" l="1"/>
  <c r="R119" i="39" s="1"/>
  <c r="F69" i="39"/>
  <c r="F50" i="39"/>
  <c r="S112" i="39"/>
  <c r="T106" i="39"/>
  <c r="S113" i="39"/>
  <c r="S131" i="39"/>
  <c r="S130" i="39"/>
  <c r="T124" i="39"/>
  <c r="F31" i="39"/>
  <c r="F12" i="39"/>
  <c r="I42" i="19"/>
  <c r="Y101" i="39"/>
  <c r="Z95" i="39"/>
  <c r="Z94" i="39"/>
  <c r="S114" i="39" l="1"/>
  <c r="S119" i="39" s="1"/>
  <c r="S132" i="39"/>
  <c r="S137" i="39" s="1"/>
  <c r="F38" i="39"/>
  <c r="F37" i="39"/>
  <c r="T112" i="39"/>
  <c r="T113" i="39"/>
  <c r="U106" i="39"/>
  <c r="F57" i="39"/>
  <c r="F56" i="39"/>
  <c r="F19" i="39"/>
  <c r="F18" i="39"/>
  <c r="U124" i="39"/>
  <c r="T130" i="39"/>
  <c r="T131" i="39"/>
  <c r="F76" i="39"/>
  <c r="F75" i="39"/>
  <c r="Z96" i="39"/>
  <c r="Z101" i="39" s="1"/>
  <c r="F58" i="39" l="1"/>
  <c r="F63" i="39" s="1"/>
  <c r="I25" i="19" s="1"/>
  <c r="T114" i="39"/>
  <c r="T119" i="39" s="1"/>
  <c r="F20" i="39"/>
  <c r="F25" i="39" s="1"/>
  <c r="I7" i="19" s="1"/>
  <c r="I16" i="19" s="1"/>
  <c r="I21" i="19" s="1"/>
  <c r="T132" i="39"/>
  <c r="T137" i="39" s="1"/>
  <c r="F39" i="39"/>
  <c r="F44" i="39" s="1"/>
  <c r="I8" i="19" s="1"/>
  <c r="I17" i="19" s="1"/>
  <c r="I18" i="19" s="1"/>
  <c r="I20" i="19" s="1"/>
  <c r="F77" i="39"/>
  <c r="F82" i="39" s="1"/>
  <c r="I26" i="19" s="1"/>
  <c r="I35" i="19" s="1"/>
  <c r="I9" i="19"/>
  <c r="I11" i="19" s="1"/>
  <c r="I10" i="19"/>
  <c r="I12" i="19"/>
  <c r="U113" i="39"/>
  <c r="U112" i="39"/>
  <c r="V106" i="39"/>
  <c r="U131" i="39"/>
  <c r="V124" i="39"/>
  <c r="U130" i="39"/>
  <c r="I19" i="19" l="1"/>
  <c r="I30" i="19"/>
  <c r="I34" i="19"/>
  <c r="I28" i="19"/>
  <c r="I27" i="19"/>
  <c r="I29" i="19" s="1"/>
  <c r="V131" i="39"/>
  <c r="W124" i="39"/>
  <c r="V130" i="39"/>
  <c r="U132" i="39"/>
  <c r="U137" i="39" s="1"/>
  <c r="W106" i="39"/>
  <c r="V113" i="39"/>
  <c r="V112" i="39"/>
  <c r="U114" i="39"/>
  <c r="U119" i="39" s="1"/>
  <c r="V114" i="39" l="1"/>
  <c r="V119" i="39"/>
  <c r="X106" i="39"/>
  <c r="W113" i="39"/>
  <c r="W112" i="39"/>
  <c r="V132" i="39"/>
  <c r="I36" i="19"/>
  <c r="I39" i="19"/>
  <c r="I37" i="19"/>
  <c r="V137" i="39"/>
  <c r="W131" i="39"/>
  <c r="W130" i="39"/>
  <c r="X124" i="39"/>
  <c r="W114" i="39" l="1"/>
  <c r="W119" i="39" s="1"/>
  <c r="X130" i="39"/>
  <c r="X131" i="39"/>
  <c r="X132" i="39" s="1"/>
  <c r="X137" i="39" s="1"/>
  <c r="Y124" i="39"/>
  <c r="W132" i="39"/>
  <c r="W137" i="39" s="1"/>
  <c r="I38" i="19"/>
  <c r="I43" i="19" s="1"/>
  <c r="I48" i="19" s="1"/>
  <c r="I45" i="19"/>
  <c r="X113" i="39"/>
  <c r="Y106" i="39"/>
  <c r="X112" i="39"/>
  <c r="J33" i="19" l="1"/>
  <c r="J24" i="19"/>
  <c r="J6" i="19"/>
  <c r="J15" i="19"/>
  <c r="Y131" i="39"/>
  <c r="Y130" i="39"/>
  <c r="Z124" i="39"/>
  <c r="Y112" i="39"/>
  <c r="Y113" i="39"/>
  <c r="Y114" i="39" s="1"/>
  <c r="Y119" i="39" s="1"/>
  <c r="Z106" i="39"/>
  <c r="X114" i="39"/>
  <c r="X119" i="39" s="1"/>
  <c r="Y132" i="39" l="1"/>
  <c r="Y137" i="39" s="1"/>
  <c r="Z112" i="39"/>
  <c r="Z113" i="39"/>
  <c r="Z114" i="39" s="1"/>
  <c r="Z119" i="39" s="1"/>
  <c r="Z130" i="39"/>
  <c r="Z131" i="39"/>
  <c r="Z132" i="39" s="1"/>
  <c r="Z137" i="39" s="1"/>
  <c r="G69" i="39"/>
  <c r="G50" i="39"/>
  <c r="G12" i="39"/>
  <c r="J42" i="19"/>
  <c r="G31" i="39"/>
  <c r="G37" i="39" l="1"/>
  <c r="G38" i="39"/>
  <c r="G57" i="39"/>
  <c r="G56" i="39"/>
  <c r="G18" i="39"/>
  <c r="G19" i="39"/>
  <c r="G20" i="39" s="1"/>
  <c r="G25" i="39" s="1"/>
  <c r="J7" i="19" s="1"/>
  <c r="J16" i="19" s="1"/>
  <c r="G75" i="39"/>
  <c r="G76" i="39"/>
  <c r="G39" i="39" l="1"/>
  <c r="G44" i="39" s="1"/>
  <c r="J8" i="19" s="1"/>
  <c r="J17" i="19" s="1"/>
  <c r="G77" i="39"/>
  <c r="G82" i="39" s="1"/>
  <c r="J26" i="19" s="1"/>
  <c r="J35" i="19" s="1"/>
  <c r="J12" i="19"/>
  <c r="J10" i="19"/>
  <c r="J9" i="19"/>
  <c r="J11" i="19" s="1"/>
  <c r="G58" i="39"/>
  <c r="G63" i="39" s="1"/>
  <c r="J25" i="19" s="1"/>
  <c r="J21" i="19"/>
  <c r="J18" i="19"/>
  <c r="J20" i="19" s="1"/>
  <c r="J19" i="19"/>
  <c r="J34" i="19" l="1"/>
  <c r="J28" i="19"/>
  <c r="J27" i="19"/>
  <c r="J29" i="19" s="1"/>
  <c r="J30" i="19"/>
  <c r="J39" i="19" l="1"/>
  <c r="J37" i="19"/>
  <c r="J36" i="19"/>
  <c r="J38" i="19" l="1"/>
  <c r="J43" i="19" s="1"/>
  <c r="J48" i="19" s="1"/>
  <c r="J45" i="19"/>
  <c r="K33" i="19" l="1"/>
  <c r="K24" i="19"/>
  <c r="K15" i="19"/>
  <c r="K6" i="19"/>
  <c r="K42" i="19" l="1"/>
  <c r="H31" i="39"/>
  <c r="H12" i="39"/>
  <c r="H50" i="39"/>
  <c r="H69" i="39"/>
  <c r="H38" i="39" l="1"/>
  <c r="H37" i="39"/>
  <c r="H76" i="39"/>
  <c r="H75" i="39"/>
  <c r="H57" i="39"/>
  <c r="H56" i="39"/>
  <c r="H19" i="39"/>
  <c r="H18" i="39"/>
  <c r="H58" i="39" l="1"/>
  <c r="H63" i="39" s="1"/>
  <c r="K25" i="19" s="1"/>
  <c r="H77" i="39"/>
  <c r="H82" i="39" s="1"/>
  <c r="K26" i="19" s="1"/>
  <c r="K35" i="19" s="1"/>
  <c r="H20" i="39"/>
  <c r="H25" i="39" s="1"/>
  <c r="K7" i="19" s="1"/>
  <c r="H39" i="39"/>
  <c r="H44" i="39" s="1"/>
  <c r="K8" i="19" s="1"/>
  <c r="K17" i="19" s="1"/>
  <c r="K30" i="19" l="1"/>
  <c r="K27" i="19"/>
  <c r="K29" i="19" s="1"/>
  <c r="K28" i="19"/>
  <c r="K34" i="19"/>
  <c r="K10" i="19"/>
  <c r="K9" i="19"/>
  <c r="K11" i="19" s="1"/>
  <c r="K12" i="19"/>
  <c r="K16" i="19"/>
  <c r="K37" i="19" l="1"/>
  <c r="K36" i="19"/>
  <c r="K38" i="19" s="1"/>
  <c r="K39" i="19"/>
  <c r="K21" i="19"/>
  <c r="K19" i="19"/>
  <c r="K18" i="19"/>
  <c r="K20" i="19" s="1"/>
  <c r="K43" i="19" s="1"/>
  <c r="K48" i="19" s="1"/>
  <c r="L24" i="19" s="1"/>
  <c r="I69" i="39" s="1"/>
  <c r="L33" i="19" l="1"/>
  <c r="I50" i="39"/>
  <c r="L6" i="19"/>
  <c r="L15" i="19"/>
  <c r="K45" i="19"/>
  <c r="I56" i="39"/>
  <c r="I57" i="39"/>
  <c r="I58" i="39" s="1"/>
  <c r="I76" i="39"/>
  <c r="I75" i="39"/>
  <c r="L42" i="19" l="1"/>
  <c r="I31" i="39"/>
  <c r="I12" i="39"/>
  <c r="I77" i="39"/>
  <c r="I82" i="39" s="1"/>
  <c r="L26" i="19" s="1"/>
  <c r="L35" i="19" s="1"/>
  <c r="I63" i="39"/>
  <c r="L25" i="19" s="1"/>
  <c r="I18" i="39" l="1"/>
  <c r="I19" i="39"/>
  <c r="I20" i="39" s="1"/>
  <c r="I25" i="39" s="1"/>
  <c r="L7" i="19" s="1"/>
  <c r="I37" i="39"/>
  <c r="I38" i="39"/>
  <c r="L27" i="19"/>
  <c r="L29" i="19" s="1"/>
  <c r="L28" i="19"/>
  <c r="L30" i="19"/>
  <c r="L34" i="19"/>
  <c r="L16" i="19"/>
  <c r="L12" i="19"/>
  <c r="L10" i="19"/>
  <c r="L9" i="19"/>
  <c r="I39" i="39" l="1"/>
  <c r="I44" i="39" s="1"/>
  <c r="L8" i="19" s="1"/>
  <c r="L17" i="19" s="1"/>
  <c r="L11" i="19"/>
  <c r="L21" i="19"/>
  <c r="L19" i="19"/>
  <c r="L18" i="19"/>
  <c r="L20" i="19" s="1"/>
  <c r="L36" i="19"/>
  <c r="L38" i="19" s="1"/>
  <c r="L39" i="19"/>
  <c r="L37" i="19"/>
  <c r="L43" i="19" l="1"/>
  <c r="L48" i="19" s="1"/>
  <c r="L45" i="19"/>
  <c r="M6" i="19" l="1"/>
  <c r="M24" i="19"/>
  <c r="M33" i="19"/>
  <c r="E32" i="5" s="1"/>
  <c r="C32" i="5" s="1"/>
  <c r="M15" i="19"/>
  <c r="E30" i="5" s="1"/>
  <c r="C30" i="5" s="1"/>
  <c r="E31" i="5" l="1"/>
  <c r="C31" i="5" s="1"/>
  <c r="J50" i="39"/>
  <c r="J69" i="39"/>
  <c r="J31" i="39"/>
  <c r="E29" i="5"/>
  <c r="C29" i="5" s="1"/>
  <c r="M42" i="19"/>
  <c r="J12" i="39"/>
  <c r="J18" i="39" l="1"/>
  <c r="J19" i="39"/>
  <c r="J37" i="39"/>
  <c r="J38" i="39"/>
  <c r="J75" i="39"/>
  <c r="J76" i="39"/>
  <c r="J57" i="39"/>
  <c r="J56" i="39"/>
  <c r="J20" i="39" l="1"/>
  <c r="J58" i="39"/>
  <c r="J63" i="39" s="1"/>
  <c r="M25" i="19" s="1"/>
  <c r="J77" i="39"/>
  <c r="J82" i="39" s="1"/>
  <c r="M26" i="19" s="1"/>
  <c r="M35" i="19" s="1"/>
  <c r="J39" i="39"/>
  <c r="J44" i="39" s="1"/>
  <c r="M8" i="19" s="1"/>
  <c r="M17" i="19" s="1"/>
  <c r="J25" i="39"/>
  <c r="M7" i="19" s="1"/>
  <c r="M16" i="19" l="1"/>
  <c r="M12" i="19"/>
  <c r="M9" i="19"/>
  <c r="M10" i="19"/>
  <c r="G14" i="29" s="1"/>
  <c r="M30" i="19"/>
  <c r="M34" i="19"/>
  <c r="M27" i="19"/>
  <c r="M29" i="19" s="1"/>
  <c r="M28" i="19"/>
  <c r="G15" i="29" s="1"/>
  <c r="M39" i="19" l="1"/>
  <c r="M36" i="19"/>
  <c r="M38" i="19" s="1"/>
  <c r="M37" i="19"/>
  <c r="M11" i="19"/>
  <c r="M21" i="19"/>
  <c r="M19" i="19"/>
  <c r="M18" i="19"/>
  <c r="M20" i="19" s="1"/>
  <c r="M43" i="19" l="1"/>
  <c r="M48" i="19" s="1"/>
  <c r="M45" i="19"/>
  <c r="N15" i="19" l="1"/>
  <c r="N6" i="19"/>
  <c r="N24" i="19"/>
  <c r="N33" i="19"/>
  <c r="K50" i="39" l="1"/>
  <c r="K69" i="39"/>
  <c r="K31" i="39"/>
  <c r="N42" i="19"/>
  <c r="K12" i="39"/>
  <c r="K18" i="39" l="1"/>
  <c r="K19" i="39"/>
  <c r="K76" i="39"/>
  <c r="K75" i="39"/>
  <c r="K38" i="39"/>
  <c r="K37" i="39"/>
  <c r="K57" i="39"/>
  <c r="K56" i="39"/>
  <c r="K20" i="39" l="1"/>
  <c r="K25" i="39" s="1"/>
  <c r="N7" i="19" s="1"/>
  <c r="K58" i="39"/>
  <c r="K63" i="39" s="1"/>
  <c r="N25" i="19" s="1"/>
  <c r="K39" i="39"/>
  <c r="K44" i="39" s="1"/>
  <c r="N8" i="19" s="1"/>
  <c r="N17" i="19" s="1"/>
  <c r="K77" i="39"/>
  <c r="K82" i="39" s="1"/>
  <c r="N26" i="19" s="1"/>
  <c r="N35" i="19" s="1"/>
  <c r="N16" i="19" l="1"/>
  <c r="N12" i="19"/>
  <c r="N10" i="19"/>
  <c r="N9" i="19"/>
  <c r="N27" i="19"/>
  <c r="N29" i="19" s="1"/>
  <c r="N28" i="19"/>
  <c r="N30" i="19"/>
  <c r="N34" i="19"/>
  <c r="N36" i="19" l="1"/>
  <c r="N38" i="19" s="1"/>
  <c r="N39" i="19"/>
  <c r="N37" i="19"/>
  <c r="N11" i="19"/>
  <c r="N21" i="19"/>
  <c r="N19" i="19"/>
  <c r="N18" i="19"/>
  <c r="N20" i="19" s="1"/>
  <c r="N43" i="19" l="1"/>
  <c r="N48" i="19" s="1"/>
  <c r="N45" i="19"/>
  <c r="O15" i="19" l="1"/>
  <c r="O6" i="19"/>
  <c r="O24" i="19"/>
  <c r="O33" i="19"/>
  <c r="L69" i="39" l="1"/>
  <c r="L50" i="39"/>
  <c r="L12" i="39"/>
  <c r="O42" i="19"/>
  <c r="L31" i="39"/>
  <c r="L37" i="39" l="1"/>
  <c r="L38" i="39"/>
  <c r="L19" i="39"/>
  <c r="L18" i="39"/>
  <c r="L57" i="39"/>
  <c r="L56" i="39"/>
  <c r="L75" i="39"/>
  <c r="L76" i="39"/>
  <c r="L39" i="39" l="1"/>
  <c r="L20" i="39"/>
  <c r="L25" i="39" s="1"/>
  <c r="O7" i="19" s="1"/>
  <c r="L58" i="39"/>
  <c r="L63" i="39" s="1"/>
  <c r="O25" i="19" s="1"/>
  <c r="L77" i="39"/>
  <c r="L82" i="39" s="1"/>
  <c r="O26" i="19" s="1"/>
  <c r="O35" i="19" s="1"/>
  <c r="L44" i="39"/>
  <c r="O8" i="19" s="1"/>
  <c r="O17" i="19" s="1"/>
  <c r="O12" i="19" l="1"/>
  <c r="O16" i="19"/>
  <c r="O9" i="19"/>
  <c r="O10" i="19"/>
  <c r="O30" i="19"/>
  <c r="O34" i="19"/>
  <c r="O28" i="19"/>
  <c r="O27" i="19"/>
  <c r="O29" i="19" s="1"/>
  <c r="O36" i="19" l="1"/>
  <c r="O38" i="19" s="1"/>
  <c r="O39" i="19"/>
  <c r="O37" i="19"/>
  <c r="O21" i="19"/>
  <c r="O18" i="19"/>
  <c r="O20" i="19" s="1"/>
  <c r="O19" i="19"/>
  <c r="O11" i="19"/>
  <c r="O45" i="19" l="1"/>
  <c r="O43" i="19"/>
  <c r="O48" i="19" l="1"/>
  <c r="P15" i="19" l="1"/>
  <c r="P6" i="19"/>
  <c r="P33" i="19"/>
  <c r="P24" i="19"/>
  <c r="M31" i="39" l="1"/>
  <c r="M12" i="39"/>
  <c r="P42" i="19"/>
  <c r="M50" i="39"/>
  <c r="M69" i="39"/>
  <c r="M75" i="39" l="1"/>
  <c r="M76" i="39"/>
  <c r="M57" i="39"/>
  <c r="M56" i="39"/>
  <c r="M19" i="39"/>
  <c r="M18" i="39"/>
  <c r="M38" i="39"/>
  <c r="M37" i="39"/>
  <c r="M77" i="39" l="1"/>
  <c r="M39" i="39"/>
  <c r="M44" i="39" s="1"/>
  <c r="P8" i="19" s="1"/>
  <c r="P17" i="19" s="1"/>
  <c r="M58" i="39"/>
  <c r="M63" i="39" s="1"/>
  <c r="P25" i="19" s="1"/>
  <c r="M20" i="39"/>
  <c r="M25" i="39" s="1"/>
  <c r="P7" i="19" s="1"/>
  <c r="M82" i="39"/>
  <c r="P26" i="19" s="1"/>
  <c r="P35" i="19" s="1"/>
  <c r="P34" i="19" l="1"/>
  <c r="P28" i="19"/>
  <c r="P30" i="19"/>
  <c r="P27" i="19"/>
  <c r="P29" i="19" s="1"/>
  <c r="P12" i="19"/>
  <c r="P16" i="19"/>
  <c r="P10" i="19"/>
  <c r="P9" i="19"/>
  <c r="P21" i="19" l="1"/>
  <c r="P18" i="19"/>
  <c r="P20" i="19" s="1"/>
  <c r="P19" i="19"/>
  <c r="P11" i="19"/>
  <c r="P36" i="19"/>
  <c r="P38" i="19" s="1"/>
  <c r="P37" i="19"/>
  <c r="P39" i="19"/>
  <c r="P45" i="19" l="1"/>
  <c r="P43" i="19"/>
  <c r="P48" i="19" l="1"/>
  <c r="Q33" i="19" l="1"/>
  <c r="Q24" i="19"/>
  <c r="Q6" i="19"/>
  <c r="Q15" i="19"/>
  <c r="N12" i="39" l="1"/>
  <c r="N31" i="39"/>
  <c r="Q42" i="19"/>
  <c r="N69" i="39"/>
  <c r="N50" i="39"/>
  <c r="N57" i="39" l="1"/>
  <c r="N56" i="39"/>
  <c r="N76" i="39"/>
  <c r="N75" i="39"/>
  <c r="N38" i="39"/>
  <c r="N37" i="39"/>
  <c r="N18" i="39"/>
  <c r="N19" i="39"/>
  <c r="N20" i="39" l="1"/>
  <c r="N39" i="39"/>
  <c r="N77" i="39"/>
  <c r="N58" i="39"/>
  <c r="N25" i="39"/>
  <c r="Q7" i="19" s="1"/>
  <c r="N82" i="39"/>
  <c r="Q26" i="19" s="1"/>
  <c r="Q35" i="19" s="1"/>
  <c r="N63" i="39"/>
  <c r="Q25" i="19" s="1"/>
  <c r="N44" i="39"/>
  <c r="Q8" i="19" s="1"/>
  <c r="Q17" i="19" s="1"/>
  <c r="Q30" i="19" l="1"/>
  <c r="Q34" i="19"/>
  <c r="Q27" i="19"/>
  <c r="Q29" i="19" s="1"/>
  <c r="Q28" i="19"/>
  <c r="Q12" i="19"/>
  <c r="Q16" i="19"/>
  <c r="Q9" i="19"/>
  <c r="Q10" i="19"/>
  <c r="Q37" i="19" l="1"/>
  <c r="Q36" i="19"/>
  <c r="Q38" i="19" s="1"/>
  <c r="Q39" i="19"/>
  <c r="Q11" i="19"/>
  <c r="Q21" i="19"/>
  <c r="Q19" i="19"/>
  <c r="Q18" i="19"/>
  <c r="Q20" i="19" s="1"/>
  <c r="Q45" i="19" l="1"/>
  <c r="Q43" i="19"/>
  <c r="Q48" i="19" l="1"/>
  <c r="R33" i="19" l="1"/>
  <c r="R6" i="19"/>
  <c r="R15" i="19"/>
  <c r="R24" i="19"/>
  <c r="O50" i="39" l="1"/>
  <c r="O69" i="39"/>
  <c r="R42" i="19"/>
  <c r="O31" i="39"/>
  <c r="O12" i="39"/>
  <c r="O37" i="39" l="1"/>
  <c r="O38" i="39"/>
  <c r="O19" i="39"/>
  <c r="O18" i="39"/>
  <c r="O75" i="39"/>
  <c r="O76" i="39"/>
  <c r="O56" i="39"/>
  <c r="O57" i="39"/>
  <c r="O39" i="39" l="1"/>
  <c r="O77" i="39"/>
  <c r="O82" i="39" s="1"/>
  <c r="R26" i="19" s="1"/>
  <c r="R35" i="19" s="1"/>
  <c r="O58" i="39"/>
  <c r="O63" i="39" s="1"/>
  <c r="R25" i="19" s="1"/>
  <c r="O20" i="39"/>
  <c r="O25" i="39" s="1"/>
  <c r="R7" i="19" s="1"/>
  <c r="O44" i="39"/>
  <c r="R8" i="19" s="1"/>
  <c r="R17" i="19" s="1"/>
  <c r="R16" i="19" l="1"/>
  <c r="R12" i="19"/>
  <c r="R10" i="19"/>
  <c r="R9" i="19"/>
  <c r="R28" i="19"/>
  <c r="R34" i="19"/>
  <c r="R30" i="19"/>
  <c r="R27" i="19"/>
  <c r="R29" i="19" s="1"/>
  <c r="R36" i="19" l="1"/>
  <c r="R38" i="19" s="1"/>
  <c r="R39" i="19"/>
  <c r="R37" i="19"/>
  <c r="R11" i="19"/>
  <c r="R21" i="19"/>
  <c r="R19" i="19"/>
  <c r="R18" i="19"/>
  <c r="R20" i="19" s="1"/>
  <c r="R43" i="19" l="1"/>
  <c r="R45" i="19"/>
  <c r="R48" i="19" l="1"/>
  <c r="S24" i="19" l="1"/>
  <c r="S33" i="19"/>
  <c r="S15" i="19"/>
  <c r="S6" i="19"/>
  <c r="P12" i="39" l="1"/>
  <c r="S42" i="19"/>
  <c r="P31" i="39"/>
  <c r="P50" i="39"/>
  <c r="P69" i="39"/>
  <c r="P57" i="39" l="1"/>
  <c r="P56" i="39"/>
  <c r="P38" i="39"/>
  <c r="P37" i="39"/>
  <c r="P75" i="39"/>
  <c r="P76" i="39"/>
  <c r="P19" i="39"/>
  <c r="P18" i="39"/>
  <c r="P39" i="39" l="1"/>
  <c r="P44" i="39" s="1"/>
  <c r="S8" i="19" s="1"/>
  <c r="S17" i="19" s="1"/>
  <c r="P77" i="39"/>
  <c r="P82" i="39" s="1"/>
  <c r="S26" i="19" s="1"/>
  <c r="S35" i="19" s="1"/>
  <c r="P20" i="39"/>
  <c r="P25" i="39" s="1"/>
  <c r="S7" i="19" s="1"/>
  <c r="P58" i="39"/>
  <c r="P63" i="39" s="1"/>
  <c r="S25" i="19" s="1"/>
  <c r="S34" i="19" l="1"/>
  <c r="S27" i="19"/>
  <c r="S29" i="19" s="1"/>
  <c r="S28" i="19"/>
  <c r="S30" i="19"/>
  <c r="S12" i="19"/>
  <c r="S16" i="19"/>
  <c r="S10" i="19"/>
  <c r="S9" i="19"/>
  <c r="S21" i="19" l="1"/>
  <c r="S18" i="19"/>
  <c r="S20" i="19" s="1"/>
  <c r="S19" i="19"/>
  <c r="S11" i="19"/>
  <c r="S37" i="19"/>
  <c r="S39" i="19"/>
  <c r="S36" i="19"/>
  <c r="S38" i="19" s="1"/>
  <c r="S45" i="19" l="1"/>
  <c r="S43" i="19"/>
  <c r="S48" i="19" s="1"/>
  <c r="T24" i="19" l="1"/>
  <c r="T33" i="19"/>
  <c r="T15" i="19"/>
  <c r="T6" i="19"/>
  <c r="T42" i="19" l="1"/>
  <c r="Q12" i="39"/>
  <c r="Q31" i="39"/>
  <c r="Q69" i="39"/>
  <c r="Q50" i="39"/>
  <c r="Q75" i="39" l="1"/>
  <c r="Q76" i="39"/>
  <c r="Q77" i="39" s="1"/>
  <c r="Q57" i="39"/>
  <c r="Q56" i="39"/>
  <c r="Q18" i="39"/>
  <c r="Q19" i="39"/>
  <c r="Q38" i="39"/>
  <c r="Q37" i="39"/>
  <c r="Q20" i="39" l="1"/>
  <c r="Q25" i="39" s="1"/>
  <c r="T7" i="19" s="1"/>
  <c r="Q58" i="39"/>
  <c r="Q63" i="39" s="1"/>
  <c r="T25" i="19" s="1"/>
  <c r="Q39" i="39"/>
  <c r="Q44" i="39" s="1"/>
  <c r="T8" i="19" s="1"/>
  <c r="T17" i="19" s="1"/>
  <c r="Q82" i="39"/>
  <c r="T26" i="19" s="1"/>
  <c r="T35" i="19" s="1"/>
  <c r="T34" i="19" l="1"/>
  <c r="T27" i="19"/>
  <c r="T29" i="19" s="1"/>
  <c r="T28" i="19"/>
  <c r="T30" i="19"/>
  <c r="T12" i="19"/>
  <c r="T16" i="19"/>
  <c r="T10" i="19"/>
  <c r="T9" i="19"/>
  <c r="T11" i="19" l="1"/>
  <c r="T21" i="19"/>
  <c r="T19" i="19"/>
  <c r="T18" i="19"/>
  <c r="T20" i="19" s="1"/>
  <c r="T36" i="19"/>
  <c r="T38" i="19" s="1"/>
  <c r="T39" i="19"/>
  <c r="T37" i="19"/>
  <c r="T45" i="19" l="1"/>
  <c r="T43" i="19"/>
  <c r="T48" i="19" s="1"/>
  <c r="U24" i="19" l="1"/>
  <c r="U33" i="19"/>
  <c r="U15" i="19"/>
  <c r="U6" i="19"/>
  <c r="U42" i="19" l="1"/>
  <c r="R12" i="39"/>
  <c r="R31" i="39"/>
  <c r="R69" i="39"/>
  <c r="R50" i="39"/>
  <c r="R56" i="39" l="1"/>
  <c r="R57" i="39"/>
  <c r="R75" i="39"/>
  <c r="R76" i="39"/>
  <c r="R38" i="39"/>
  <c r="R37" i="39"/>
  <c r="R18" i="39"/>
  <c r="R19" i="39"/>
  <c r="R58" i="39" l="1"/>
  <c r="R39" i="39"/>
  <c r="R20" i="39"/>
  <c r="R25" i="39" s="1"/>
  <c r="U7" i="19" s="1"/>
  <c r="R44" i="39"/>
  <c r="U8" i="19" s="1"/>
  <c r="U17" i="19" s="1"/>
  <c r="R77" i="39"/>
  <c r="R82" i="39" s="1"/>
  <c r="U26" i="19" s="1"/>
  <c r="U35" i="19" s="1"/>
  <c r="R63" i="39"/>
  <c r="U25" i="19" s="1"/>
  <c r="U12" i="19" l="1"/>
  <c r="U16" i="19"/>
  <c r="U9" i="19"/>
  <c r="U10" i="19"/>
  <c r="U28" i="19"/>
  <c r="U34" i="19"/>
  <c r="U27" i="19"/>
  <c r="U29" i="19" s="1"/>
  <c r="U30" i="19"/>
  <c r="U37" i="19" l="1"/>
  <c r="U39" i="19"/>
  <c r="U36" i="19"/>
  <c r="U38" i="19" s="1"/>
  <c r="U21" i="19"/>
  <c r="U18" i="19"/>
  <c r="U20" i="19" s="1"/>
  <c r="U19" i="19"/>
  <c r="U11" i="19"/>
  <c r="U43" i="19" l="1"/>
  <c r="U48" i="19" s="1"/>
  <c r="V6" i="19" s="1"/>
  <c r="U45" i="19"/>
  <c r="V15" i="19" l="1"/>
  <c r="V24" i="19"/>
  <c r="S69" i="39" s="1"/>
  <c r="V33" i="19"/>
  <c r="S12" i="39"/>
  <c r="S31" i="39"/>
  <c r="V42" i="19" l="1"/>
  <c r="S50" i="39"/>
  <c r="S56" i="39" s="1"/>
  <c r="S75" i="39"/>
  <c r="S76" i="39"/>
  <c r="S38" i="39"/>
  <c r="S37" i="39"/>
  <c r="S18" i="39"/>
  <c r="S19" i="39"/>
  <c r="S57" i="39" l="1"/>
  <c r="S77" i="39"/>
  <c r="S82" i="39" s="1"/>
  <c r="V26" i="19" s="1"/>
  <c r="V35" i="19" s="1"/>
  <c r="S58" i="39"/>
  <c r="S63" i="39" s="1"/>
  <c r="V25" i="19" s="1"/>
  <c r="S20" i="39"/>
  <c r="S25" i="39" s="1"/>
  <c r="V7" i="19" s="1"/>
  <c r="S39" i="39"/>
  <c r="S44" i="39" s="1"/>
  <c r="V8" i="19" s="1"/>
  <c r="V17" i="19" s="1"/>
  <c r="V12" i="19" l="1"/>
  <c r="V16" i="19"/>
  <c r="V10" i="19"/>
  <c r="V9" i="19"/>
  <c r="V28" i="19"/>
  <c r="V27" i="19"/>
  <c r="V29" i="19" s="1"/>
  <c r="V34" i="19"/>
  <c r="V30" i="19"/>
  <c r="V36" i="19" l="1"/>
  <c r="V38" i="19" s="1"/>
  <c r="V37" i="19"/>
  <c r="V39" i="19"/>
  <c r="V11" i="19"/>
  <c r="V21" i="19"/>
  <c r="V18" i="19"/>
  <c r="V20" i="19" s="1"/>
  <c r="V19" i="19"/>
  <c r="V45" i="19" l="1"/>
  <c r="V43" i="19"/>
  <c r="V48" i="19" s="1"/>
  <c r="W6" i="19" l="1"/>
  <c r="W33" i="19"/>
  <c r="W15" i="19"/>
  <c r="W24" i="19"/>
  <c r="T50" i="39" l="1"/>
  <c r="T69" i="39"/>
  <c r="T31" i="39"/>
  <c r="W42" i="19"/>
  <c r="T12" i="39"/>
  <c r="T19" i="39" l="1"/>
  <c r="T18" i="39"/>
  <c r="T37" i="39"/>
  <c r="T38" i="39"/>
  <c r="T39" i="39" s="1"/>
  <c r="T75" i="39"/>
  <c r="T76" i="39"/>
  <c r="T56" i="39"/>
  <c r="T57" i="39"/>
  <c r="T58" i="39" l="1"/>
  <c r="T77" i="39"/>
  <c r="T82" i="39" s="1"/>
  <c r="W26" i="19" s="1"/>
  <c r="W35" i="19" s="1"/>
  <c r="T20" i="39"/>
  <c r="T25" i="39" s="1"/>
  <c r="W7" i="19" s="1"/>
  <c r="T63" i="39"/>
  <c r="W25" i="19" s="1"/>
  <c r="T44" i="39"/>
  <c r="W8" i="19" s="1"/>
  <c r="W17" i="19" s="1"/>
  <c r="W12" i="19" l="1"/>
  <c r="W16" i="19"/>
  <c r="W9" i="19"/>
  <c r="W10" i="19"/>
  <c r="W34" i="19"/>
  <c r="W28" i="19"/>
  <c r="W27" i="19"/>
  <c r="W29" i="19" s="1"/>
  <c r="W30" i="19"/>
  <c r="W37" i="19" l="1"/>
  <c r="W39" i="19"/>
  <c r="W36" i="19"/>
  <c r="W38" i="19" s="1"/>
  <c r="W11" i="19"/>
  <c r="W21" i="19"/>
  <c r="W18" i="19"/>
  <c r="W20" i="19" s="1"/>
  <c r="W19" i="19"/>
  <c r="W45" i="19" l="1"/>
  <c r="W43" i="19"/>
  <c r="W48" i="19" s="1"/>
  <c r="X33" i="19" l="1"/>
  <c r="X6" i="19"/>
  <c r="X15" i="19"/>
  <c r="X24" i="19"/>
  <c r="U50" i="39" l="1"/>
  <c r="U69" i="39"/>
  <c r="X42" i="19"/>
  <c r="U31" i="39"/>
  <c r="U12" i="39"/>
  <c r="U76" i="39" l="1"/>
  <c r="U75" i="39"/>
  <c r="U19" i="39"/>
  <c r="U18" i="39"/>
  <c r="U38" i="39"/>
  <c r="U37" i="39"/>
  <c r="U57" i="39"/>
  <c r="U56" i="39"/>
  <c r="U39" i="39" l="1"/>
  <c r="U44" i="39" s="1"/>
  <c r="X8" i="19" s="1"/>
  <c r="X17" i="19" s="1"/>
  <c r="U58" i="39"/>
  <c r="U63" i="39" s="1"/>
  <c r="X25" i="19" s="1"/>
  <c r="U20" i="39"/>
  <c r="U25" i="39" s="1"/>
  <c r="X7" i="19" s="1"/>
  <c r="U77" i="39"/>
  <c r="U82" i="39" s="1"/>
  <c r="X26" i="19" s="1"/>
  <c r="X35" i="19" s="1"/>
  <c r="X12" i="19" l="1"/>
  <c r="X16" i="19"/>
  <c r="X9" i="19"/>
  <c r="X10" i="19"/>
  <c r="X28" i="19"/>
  <c r="X30" i="19"/>
  <c r="X27" i="19"/>
  <c r="X29" i="19" s="1"/>
  <c r="X34" i="19"/>
  <c r="X37" i="19" l="1"/>
  <c r="X36" i="19"/>
  <c r="X38" i="19" s="1"/>
  <c r="X39" i="19"/>
  <c r="X21" i="19"/>
  <c r="X18" i="19"/>
  <c r="X20" i="19" s="1"/>
  <c r="X19" i="19"/>
  <c r="X11" i="19"/>
  <c r="X45" i="19" l="1"/>
  <c r="X43" i="19"/>
  <c r="X48" i="19" s="1"/>
  <c r="Y15" i="19" s="1"/>
  <c r="Y6" i="19" l="1"/>
  <c r="Y33" i="19"/>
  <c r="Y24" i="19"/>
  <c r="V50" i="39"/>
  <c r="V69" i="39"/>
  <c r="V12" i="39"/>
  <c r="Y42" i="19"/>
  <c r="V31" i="39"/>
  <c r="V38" i="39" l="1"/>
  <c r="V37" i="39"/>
  <c r="V19" i="39"/>
  <c r="V18" i="39"/>
  <c r="V75" i="39"/>
  <c r="V76" i="39"/>
  <c r="V57" i="39"/>
  <c r="V56" i="39"/>
  <c r="V77" i="39" l="1"/>
  <c r="V82" i="39" s="1"/>
  <c r="Y26" i="19" s="1"/>
  <c r="Y35" i="19" s="1"/>
  <c r="V20" i="39"/>
  <c r="V25" i="39" s="1"/>
  <c r="Y7" i="19" s="1"/>
  <c r="V58" i="39"/>
  <c r="V63" i="39" s="1"/>
  <c r="Y25" i="19" s="1"/>
  <c r="V39" i="39"/>
  <c r="V44" i="39" s="1"/>
  <c r="Y8" i="19" s="1"/>
  <c r="Y17" i="19" s="1"/>
  <c r="Y27" i="19" l="1"/>
  <c r="Y29" i="19" s="1"/>
  <c r="Y34" i="19"/>
  <c r="Y28" i="19"/>
  <c r="Y30" i="19"/>
  <c r="Y12" i="19"/>
  <c r="Y16" i="19"/>
  <c r="Y10" i="19"/>
  <c r="Y9" i="19"/>
  <c r="Y21" i="19" l="1"/>
  <c r="Y19" i="19"/>
  <c r="Y18" i="19"/>
  <c r="Y20" i="19" s="1"/>
  <c r="Y11" i="19"/>
  <c r="Y37" i="19"/>
  <c r="Y39" i="19"/>
  <c r="Y36" i="19"/>
  <c r="Y38" i="19" s="1"/>
  <c r="Y43" i="19" l="1"/>
  <c r="Y48" i="19" s="1"/>
  <c r="Y45" i="19"/>
  <c r="Z24" i="19" l="1"/>
  <c r="Z33" i="19"/>
  <c r="Z6" i="19"/>
  <c r="Z15" i="19"/>
  <c r="Z42" i="19" l="1"/>
  <c r="W12" i="39"/>
  <c r="W31" i="39"/>
  <c r="W50" i="39"/>
  <c r="W69" i="39"/>
  <c r="W19" i="39" l="1"/>
  <c r="W18" i="39"/>
  <c r="W75" i="39"/>
  <c r="W76" i="39"/>
  <c r="W56" i="39"/>
  <c r="W57" i="39"/>
  <c r="W38" i="39"/>
  <c r="W37" i="39"/>
  <c r="W58" i="39" l="1"/>
  <c r="W77" i="39"/>
  <c r="W82" i="39" s="1"/>
  <c r="Z26" i="19" s="1"/>
  <c r="Z35" i="19" s="1"/>
  <c r="W39" i="39"/>
  <c r="W44" i="39" s="1"/>
  <c r="Z8" i="19" s="1"/>
  <c r="Z17" i="19" s="1"/>
  <c r="W63" i="39"/>
  <c r="Z25" i="19" s="1"/>
  <c r="W20" i="39"/>
  <c r="W25" i="39" s="1"/>
  <c r="Z7" i="19" s="1"/>
  <c r="Z12" i="19" l="1"/>
  <c r="Z16" i="19"/>
  <c r="Z9" i="19"/>
  <c r="Z10" i="19"/>
  <c r="Z34" i="19"/>
  <c r="Z30" i="19"/>
  <c r="Z27" i="19"/>
  <c r="Z29" i="19" s="1"/>
  <c r="Z28" i="19"/>
  <c r="Z37" i="19" l="1"/>
  <c r="Z39" i="19"/>
  <c r="Z36" i="19"/>
  <c r="Z38" i="19" s="1"/>
  <c r="Z11" i="19"/>
  <c r="Z21" i="19"/>
  <c r="Z18" i="19"/>
  <c r="Z20" i="19" s="1"/>
  <c r="Z19" i="19"/>
  <c r="Z45" i="19" l="1"/>
  <c r="Z43" i="19"/>
  <c r="Z48" i="19" s="1"/>
  <c r="AA15" i="19" l="1"/>
  <c r="AA33" i="19"/>
  <c r="AA24" i="19"/>
  <c r="AA6" i="19"/>
  <c r="X50" i="39" l="1"/>
  <c r="X69" i="39"/>
  <c r="X31" i="39"/>
  <c r="AA42" i="19"/>
  <c r="X12" i="39"/>
  <c r="X19" i="39" l="1"/>
  <c r="X18" i="39"/>
  <c r="X37" i="39"/>
  <c r="X38" i="39"/>
  <c r="X39" i="39" s="1"/>
  <c r="X75" i="39"/>
  <c r="X76" i="39"/>
  <c r="X56" i="39"/>
  <c r="X57" i="39"/>
  <c r="X58" i="39" l="1"/>
  <c r="X77" i="39"/>
  <c r="X82" i="39" s="1"/>
  <c r="AA26" i="19" s="1"/>
  <c r="AA35" i="19" s="1"/>
  <c r="X20" i="39"/>
  <c r="X44" i="39"/>
  <c r="AA8" i="19" s="1"/>
  <c r="AA17" i="19" s="1"/>
  <c r="X63" i="39"/>
  <c r="AA25" i="19" s="1"/>
  <c r="X25" i="39"/>
  <c r="AA7" i="19" s="1"/>
  <c r="AA34" i="19" l="1"/>
  <c r="AA27" i="19"/>
  <c r="AA29" i="19" s="1"/>
  <c r="AA30" i="19"/>
  <c r="AA28" i="19"/>
  <c r="AA12" i="19"/>
  <c r="AA16" i="19"/>
  <c r="AA9" i="19"/>
  <c r="AA10" i="19"/>
  <c r="AA11" i="19" l="1"/>
  <c r="AA21" i="19"/>
  <c r="AA19" i="19"/>
  <c r="AA18" i="19"/>
  <c r="AA20" i="19" s="1"/>
  <c r="AA36" i="19"/>
  <c r="AA38" i="19" s="1"/>
  <c r="AA39" i="19"/>
  <c r="AA37" i="19"/>
  <c r="AA45" i="19" l="1"/>
  <c r="AA43" i="19"/>
  <c r="AA48" i="19" s="1"/>
  <c r="AB6" i="19" l="1"/>
  <c r="AB33" i="19"/>
  <c r="AB24" i="19"/>
  <c r="AB15" i="19"/>
  <c r="Y69" i="39" l="1"/>
  <c r="Y50" i="39"/>
  <c r="Y31" i="39"/>
  <c r="AB42" i="19"/>
  <c r="Y12" i="39"/>
  <c r="Y18" i="39" l="1"/>
  <c r="Y19" i="39"/>
  <c r="Y20" i="39" s="1"/>
  <c r="Y57" i="39"/>
  <c r="Y56" i="39"/>
  <c r="Y37" i="39"/>
  <c r="Y38" i="39"/>
  <c r="Y76" i="39"/>
  <c r="Y75" i="39"/>
  <c r="Y77" i="39" l="1"/>
  <c r="Y82" i="39" s="1"/>
  <c r="AB26" i="19" s="1"/>
  <c r="AB35" i="19" s="1"/>
  <c r="Y39" i="39"/>
  <c r="Y44" i="39" s="1"/>
  <c r="AB8" i="19" s="1"/>
  <c r="AB17" i="19" s="1"/>
  <c r="Y58" i="39"/>
  <c r="Y63" i="39" s="1"/>
  <c r="AB25" i="19" s="1"/>
  <c r="Y25" i="39"/>
  <c r="AB7" i="19" s="1"/>
  <c r="AB12" i="19" l="1"/>
  <c r="AB16" i="19"/>
  <c r="AB9" i="19"/>
  <c r="AB10" i="19"/>
  <c r="AB28" i="19"/>
  <c r="AB30" i="19"/>
  <c r="AB34" i="19"/>
  <c r="AB27" i="19"/>
  <c r="AB29" i="19" s="1"/>
  <c r="AB11" i="19" l="1"/>
  <c r="AB37" i="19"/>
  <c r="AB36" i="19"/>
  <c r="AB38" i="19" s="1"/>
  <c r="AB39" i="19"/>
  <c r="AB21" i="19"/>
  <c r="AB19" i="19"/>
  <c r="AB18" i="19"/>
  <c r="AB20" i="19" s="1"/>
  <c r="AB45" i="19" l="1"/>
  <c r="AB43" i="19"/>
  <c r="AB48" i="19" s="1"/>
  <c r="AC33" i="19" l="1"/>
  <c r="AC15" i="19"/>
  <c r="AC6" i="19"/>
  <c r="AC24" i="19"/>
  <c r="Z69" i="39" l="1"/>
  <c r="Z50" i="39"/>
  <c r="Z12" i="39"/>
  <c r="Z31" i="39"/>
  <c r="AC42" i="19"/>
  <c r="Z37" i="39" l="1"/>
  <c r="Z38" i="39"/>
  <c r="Z19" i="39"/>
  <c r="Z18" i="39"/>
  <c r="Z57" i="39"/>
  <c r="Z56" i="39"/>
  <c r="Z76" i="39"/>
  <c r="Z75" i="39"/>
  <c r="Z39" i="39" l="1"/>
  <c r="Z77" i="39"/>
  <c r="Z82" i="39" s="1"/>
  <c r="AC26" i="19" s="1"/>
  <c r="AC35" i="19" s="1"/>
  <c r="Z20" i="39"/>
  <c r="Z25" i="39" s="1"/>
  <c r="AC7" i="19" s="1"/>
  <c r="Z58" i="39"/>
  <c r="Z63" i="39" s="1"/>
  <c r="AC25" i="19" s="1"/>
  <c r="Z44" i="39"/>
  <c r="AC8" i="19" s="1"/>
  <c r="AC17" i="19" s="1"/>
  <c r="AC27" i="19" l="1"/>
  <c r="AC29" i="19" s="1"/>
  <c r="AC30" i="19"/>
  <c r="E31" i="19" s="1"/>
  <c r="AC34" i="19"/>
  <c r="AC28" i="19"/>
  <c r="AC12" i="19"/>
  <c r="E13" i="19" s="1"/>
  <c r="AC16" i="19"/>
  <c r="AC9" i="19"/>
  <c r="AC10" i="19"/>
  <c r="AC11" i="19" l="1"/>
  <c r="AC21" i="19"/>
  <c r="E22" i="19" s="1"/>
  <c r="D14" i="29" s="1"/>
  <c r="AC19" i="19"/>
  <c r="AC18" i="19"/>
  <c r="AC20" i="19" s="1"/>
  <c r="AC39" i="19"/>
  <c r="E40" i="19" s="1"/>
  <c r="D15" i="29" s="1"/>
  <c r="AC37" i="19"/>
  <c r="AC36" i="19"/>
  <c r="AC38" i="19" s="1"/>
  <c r="AC45" i="19" l="1"/>
  <c r="AC43" i="19"/>
  <c r="AC48" i="19" l="1"/>
  <c r="I44" i="19"/>
  <c r="G44" i="19"/>
  <c r="R44" i="19"/>
  <c r="E44" i="19"/>
  <c r="X44" i="19"/>
  <c r="Y44" i="19"/>
  <c r="O44" i="19"/>
  <c r="AC44" i="19"/>
  <c r="P44" i="19"/>
  <c r="T44" i="19"/>
  <c r="S44" i="19"/>
  <c r="H44" i="19"/>
  <c r="AA44" i="19"/>
  <c r="F44" i="19"/>
  <c r="Q44" i="19"/>
  <c r="AB44" i="19"/>
  <c r="K44" i="19"/>
  <c r="U44" i="19"/>
  <c r="V44" i="19"/>
  <c r="Z44" i="19"/>
  <c r="N44" i="19"/>
  <c r="L44" i="19"/>
  <c r="J44" i="19"/>
  <c r="M44" i="19"/>
  <c r="W44" i="19"/>
  <c r="W46" i="19"/>
  <c r="P46" i="19"/>
  <c r="AA46" i="19"/>
  <c r="U46" i="19"/>
  <c r="Q46" i="19"/>
  <c r="AB46" i="19"/>
  <c r="V46" i="19"/>
  <c r="I46" i="19"/>
  <c r="Y46" i="19"/>
  <c r="E46" i="19"/>
  <c r="D13" i="29" s="1"/>
  <c r="D38" i="29" s="1"/>
  <c r="Z46" i="19"/>
  <c r="M46" i="19"/>
  <c r="H46" i="19"/>
  <c r="F46" i="19"/>
  <c r="L46" i="19"/>
  <c r="X46" i="19"/>
  <c r="T46" i="19"/>
  <c r="N46" i="19"/>
  <c r="AC46" i="19"/>
  <c r="J46" i="19"/>
  <c r="K46" i="19"/>
  <c r="R46" i="19"/>
  <c r="G46" i="19"/>
  <c r="O46" i="19"/>
  <c r="S46" i="19"/>
  <c r="C25" i="5" l="1"/>
</calcChain>
</file>

<file path=xl/sharedStrings.xml><?xml version="1.0" encoding="utf-8"?>
<sst xmlns="http://schemas.openxmlformats.org/spreadsheetml/2006/main" count="514" uniqueCount="256">
  <si>
    <t>Brake torque</t>
  </si>
  <si>
    <t>Symbol</t>
  </si>
  <si>
    <t>Units</t>
  </si>
  <si>
    <t>Value</t>
  </si>
  <si>
    <t>d</t>
  </si>
  <si>
    <t>m</t>
  </si>
  <si>
    <t>N</t>
  </si>
  <si>
    <t>Brake piston pitch circle radius (PCR)</t>
  </si>
  <si>
    <t>m2</t>
  </si>
  <si>
    <t>Nm</t>
  </si>
  <si>
    <t>Brake fluid pressure</t>
  </si>
  <si>
    <t>N/m2</t>
  </si>
  <si>
    <t>Master cylinder diameter</t>
  </si>
  <si>
    <t>Master cylinder area</t>
  </si>
  <si>
    <t>Tyre static radius at inflation pressure</t>
  </si>
  <si>
    <t>Diameter of brake piston (1st pair)</t>
  </si>
  <si>
    <t>Diameter of brake piston (2nd pair)</t>
  </si>
  <si>
    <t>Diameter of brake piston (3rd pair)</t>
  </si>
  <si>
    <t>Brake pad coefficient of friction</t>
  </si>
  <si>
    <t>mu</t>
  </si>
  <si>
    <t>Brake pad tangential force</t>
  </si>
  <si>
    <t>Brake piston normal force</t>
  </si>
  <si>
    <t>Disc outer diameter</t>
  </si>
  <si>
    <t>Pad radial depth</t>
  </si>
  <si>
    <t>Distance from disc outer diameter to pad outer diameter</t>
  </si>
  <si>
    <t>Master cylinder force</t>
  </si>
  <si>
    <t>Wheelbase</t>
  </si>
  <si>
    <t>Centre of gravity height</t>
  </si>
  <si>
    <t>kg</t>
  </si>
  <si>
    <t>Percentage mass front</t>
  </si>
  <si>
    <t>Percentage mass rear</t>
  </si>
  <si>
    <t>Longitudinal Weight transfer</t>
  </si>
  <si>
    <t>Front axle vertical force under braking</t>
  </si>
  <si>
    <t>Rear axle vertical force under braking</t>
  </si>
  <si>
    <t>Total weight (crosscheck)</t>
  </si>
  <si>
    <t>Total mass</t>
  </si>
  <si>
    <t>New weight distribution front</t>
  </si>
  <si>
    <t>New weight distribution rear</t>
  </si>
  <si>
    <t>Front tyre static radius at inflation pressure</t>
  </si>
  <si>
    <t>Rear tyre static radius at inflation pressure</t>
  </si>
  <si>
    <t>Acceleration for front wheel lock (Olley)</t>
  </si>
  <si>
    <t>Acceleration for rear wheel lock (Olley)</t>
  </si>
  <si>
    <t>Front axle braking force (Olley)</t>
  </si>
  <si>
    <t>Rear axle braking force (Olley)</t>
  </si>
  <si>
    <t>Front axle braking force over wt of car</t>
  </si>
  <si>
    <t>Rear axle braking force over wt of car</t>
  </si>
  <si>
    <t>Tot brake capacity over wt of car (crosscheck with mu)</t>
  </si>
  <si>
    <t>Brake bias</t>
  </si>
  <si>
    <t>Road</t>
  </si>
  <si>
    <t>friction</t>
  </si>
  <si>
    <t>coefficient</t>
  </si>
  <si>
    <t>for equal</t>
  </si>
  <si>
    <t>fr &amp; rr</t>
  </si>
  <si>
    <t>deceleration</t>
  </si>
  <si>
    <t>Maximum deceleration before skid</t>
  </si>
  <si>
    <t>&lt;---</t>
  </si>
  <si>
    <t>Error to maximum theoretical possible deceleration</t>
  </si>
  <si>
    <t>Road surface</t>
  </si>
  <si>
    <t>lbs</t>
  </si>
  <si>
    <t>in²</t>
  </si>
  <si>
    <t>Brake force at tyre contact patch (two tyres)</t>
  </si>
  <si>
    <t xml:space="preserve"> = deceleration x tot weight x cg height / wheelbase</t>
  </si>
  <si>
    <t>Mass on front left tyre</t>
  </si>
  <si>
    <t>Mass on front RIGHT tyre</t>
  </si>
  <si>
    <t>Mass on rear left tyre</t>
  </si>
  <si>
    <t>Mass on rear RIGHT tyre</t>
  </si>
  <si>
    <t>front left tyre</t>
  </si>
  <si>
    <t>front RIGHT tyre</t>
  </si>
  <si>
    <t>rear left tyre</t>
  </si>
  <si>
    <t>rear RIGHT tyre</t>
  </si>
  <si>
    <t>Tyre max available braking grip (@ SR = -0.2)</t>
  </si>
  <si>
    <t>Tyre min available braking grip (@ SR = -1)</t>
  </si>
  <si>
    <t>Normal load</t>
  </si>
  <si>
    <t>Static</t>
  </si>
  <si>
    <t>mu = (brake force / vertical force)</t>
  </si>
  <si>
    <t>With weight transfer --&gt;</t>
  </si>
  <si>
    <t>total mass/weight crosscheck</t>
  </si>
  <si>
    <t>braking grip for one tyre</t>
  </si>
  <si>
    <t>to 4th decimal</t>
  </si>
  <si>
    <t>g</t>
  </si>
  <si>
    <t>Apparent mass on front left tyre</t>
  </si>
  <si>
    <t>Apparent mass on front RIGHT tyre</t>
  </si>
  <si>
    <t>Apparent mass on rear left tyre</t>
  </si>
  <si>
    <t>Apparent mass on rear RIGHT tyre</t>
  </si>
  <si>
    <t>Brake bias percentage (front)</t>
  </si>
  <si>
    <t>Step number</t>
  </si>
  <si>
    <t>OUTPUT</t>
  </si>
  <si>
    <t>Average mu (average of 4 traction coefficients)</t>
  </si>
  <si>
    <t>Steady state average mu (smooths out oscillations)</t>
  </si>
  <si>
    <t>Deceleration Ax = tot braking force / tot vertical load</t>
  </si>
  <si>
    <t>Steady state average Ax</t>
  </si>
  <si>
    <t>Wet</t>
  </si>
  <si>
    <t>Correction factor</t>
  </si>
  <si>
    <t>psi</t>
  </si>
  <si>
    <t>Dry</t>
  </si>
  <si>
    <t>Damp</t>
  </si>
  <si>
    <t>Make (for info only)</t>
  </si>
  <si>
    <t>Size (for info only)</t>
  </si>
  <si>
    <t>select --&gt;</t>
  </si>
  <si>
    <t>Inflation pressure (info only)</t>
  </si>
  <si>
    <t>Vehicle parameters</t>
  </si>
  <si>
    <t>Front brake system parameters</t>
  </si>
  <si>
    <t>Tyre parameters and road quality</t>
  </si>
  <si>
    <t>h</t>
  </si>
  <si>
    <t>Rear brake system parameters</t>
  </si>
  <si>
    <t>Driver controls</t>
  </si>
  <si>
    <t>Bias bar percentage rear</t>
  </si>
  <si>
    <t>Bias bar percentage front</t>
  </si>
  <si>
    <t>L2</t>
  </si>
  <si>
    <t>L1</t>
  </si>
  <si>
    <t>L3</t>
  </si>
  <si>
    <t>L4</t>
  </si>
  <si>
    <t>equation form</t>
  </si>
  <si>
    <t>where x =</t>
  </si>
  <si>
    <t>slip angle</t>
  </si>
  <si>
    <t>or</t>
  </si>
  <si>
    <t>slip ratio</t>
  </si>
  <si>
    <t>where y =</t>
  </si>
  <si>
    <t>Fy (centripetal over)</t>
  </si>
  <si>
    <t>Fx (tractive force)</t>
  </si>
  <si>
    <t>B = (a3*sin(2*atan(Fz/a4))) / (C*(a1*Fz + a2))</t>
  </si>
  <si>
    <t>Y(x) = D*sin(C*atan(B*x - E*[B*x - atan*(B*x) ] )</t>
  </si>
  <si>
    <t>Slick supersoft</t>
  </si>
  <si>
    <t>Slick soft</t>
  </si>
  <si>
    <t>Slick hard</t>
  </si>
  <si>
    <t>Slick medium</t>
  </si>
  <si>
    <t>Compound/Weather</t>
  </si>
  <si>
    <t>Type / Compound</t>
  </si>
  <si>
    <t>Semis</t>
  </si>
  <si>
    <t>Wets</t>
  </si>
  <si>
    <t>here</t>
  </si>
  <si>
    <t>Distance between centre of pedal foot pad and pedal pivot</t>
  </si>
  <si>
    <t>Distance between pedal pivot and bias bar axis</t>
  </si>
  <si>
    <t>Plot maximum scale (max decel)</t>
  </si>
  <si>
    <t xml:space="preserve"> = fr wt distrib + mu*h/l  (this simplified answer will not necessarily guarantee best braking )</t>
  </si>
  <si>
    <t>Front wheel brake torque (on one wheel) = target for brake system</t>
  </si>
  <si>
    <t>Rear wheel brake torque (on one wheel) = target for brake system</t>
  </si>
  <si>
    <t>aim for both to be equal by changing brake bias</t>
  </si>
  <si>
    <t>User ESTIMATE for average traction coefficient (mu)</t>
  </si>
  <si>
    <t>Olley optimum brake bias (front) at estimated traction coefficient</t>
  </si>
  <si>
    <t>User chosen brake bias (front)</t>
  </si>
  <si>
    <t>Olley maximum deceleration</t>
  </si>
  <si>
    <t>maximum deceleration after iteration</t>
  </si>
  <si>
    <t>Brake force at tyre contact patch (one tyre)</t>
  </si>
  <si>
    <t>Initial foot force on pedal (for one infinitesimally small instant)</t>
  </si>
  <si>
    <t>1st Force reduction/amplification factor after initial pressure on the pedal</t>
  </si>
  <si>
    <t>2nd Force reduction/amplification factor</t>
  </si>
  <si>
    <t>Track performance required</t>
  </si>
  <si>
    <t>Maximum allowable braking distance (measurable from track)</t>
  </si>
  <si>
    <t>km/h</t>
  </si>
  <si>
    <t>Braking time</t>
  </si>
  <si>
    <t>m/s</t>
  </si>
  <si>
    <t>s</t>
  </si>
  <si>
    <t>Theoretical deceleration (assuming linear)</t>
  </si>
  <si>
    <t>m/s/s</t>
  </si>
  <si>
    <t>Vehicle speed before brakes application (top speed)</t>
  </si>
  <si>
    <t>Vehicle speed after brakes application (optimum corner speed)</t>
  </si>
  <si>
    <t>Braking performance</t>
  </si>
  <si>
    <t>status (rolling / skidding)</t>
  </si>
  <si>
    <t>Iteration calculations</t>
  </si>
  <si>
    <t>remaining available tyre grip</t>
  </si>
  <si>
    <t>average remaining available tyre grip</t>
  </si>
  <si>
    <t>Average remaining available FRONT tyre grip</t>
  </si>
  <si>
    <t>Average remaining available REAR tyre grip</t>
  </si>
  <si>
    <t>Distance between pushrods of front and rear master cylinders</t>
  </si>
  <si>
    <t>Bias bar thread pitch in mm (if imperial thread, input 25.4/TPI)</t>
  </si>
  <si>
    <t>mm</t>
  </si>
  <si>
    <t>turns</t>
  </si>
  <si>
    <t>Total bias bar travel from left to right (turns)</t>
  </si>
  <si>
    <t>Number of turns from max front bias to desired setting</t>
  </si>
  <si>
    <t>Leverage ratio</t>
  </si>
  <si>
    <t>Total piston area</t>
  </si>
  <si>
    <t>dfz</t>
  </si>
  <si>
    <t>Svy</t>
  </si>
  <si>
    <t>Shape factor</t>
  </si>
  <si>
    <t>Cx</t>
  </si>
  <si>
    <t>Dx</t>
  </si>
  <si>
    <t>Kxkappa</t>
  </si>
  <si>
    <t>Bx</t>
  </si>
  <si>
    <t>Kappax</t>
  </si>
  <si>
    <t>Ex</t>
  </si>
  <si>
    <t>Fx</t>
  </si>
  <si>
    <t>deg</t>
  </si>
  <si>
    <t>pCx1</t>
  </si>
  <si>
    <t>lambdaCx</t>
  </si>
  <si>
    <t>pDx1</t>
  </si>
  <si>
    <t>pDx2</t>
  </si>
  <si>
    <t>lambdaMux</t>
  </si>
  <si>
    <t>pEx1</t>
  </si>
  <si>
    <t>pEx2</t>
  </si>
  <si>
    <t>pEx3</t>
  </si>
  <si>
    <t>pEx4</t>
  </si>
  <si>
    <t>lambdaEx</t>
  </si>
  <si>
    <t>pKx1</t>
  </si>
  <si>
    <t>pKx2</t>
  </si>
  <si>
    <t>pKx3</t>
  </si>
  <si>
    <t>pHx1</t>
  </si>
  <si>
    <t>pHx2</t>
  </si>
  <si>
    <t>lambdaHx</t>
  </si>
  <si>
    <t>pVx1</t>
  </si>
  <si>
    <t>pVx2</t>
  </si>
  <si>
    <t>lambdaKxkappa</t>
  </si>
  <si>
    <t>log increment</t>
  </si>
  <si>
    <t>Log</t>
  </si>
  <si>
    <t>Camber (deg)</t>
  </si>
  <si>
    <t>Camber (rad)</t>
  </si>
  <si>
    <t>Fz (N)</t>
  </si>
  <si>
    <t>Slip Ratio</t>
  </si>
  <si>
    <t>Sin (gamma)</t>
  </si>
  <si>
    <t>Shx</t>
  </si>
  <si>
    <t>Peak friction factor</t>
  </si>
  <si>
    <t>Baseline</t>
  </si>
  <si>
    <t>Weighting factor for Cx</t>
  </si>
  <si>
    <t>Weighting factor for Mux</t>
  </si>
  <si>
    <t>Weighting factor for Ex</t>
  </si>
  <si>
    <t>Weighting factor for Kxkappa</t>
  </si>
  <si>
    <t>Weighting factor for Hx</t>
  </si>
  <si>
    <t>Weight transfer sensitivity</t>
  </si>
  <si>
    <t>Change to match tyre average friction coefficient from logged data. Friction coefficient can vary from 1 to about 4 and is similar in value to the longitudinal and lateral G</t>
  </si>
  <si>
    <t>Change to match tyre grip characteristics under load. Coefficient can vary from 1.1 to 1.5 approx</t>
  </si>
  <si>
    <t>Factor is always negative to account for loss of friction coefficient with increase in vertical load. Factor varies from -0.1 to -0.4 approx</t>
  </si>
  <si>
    <t>"Sharpness" factor</t>
  </si>
  <si>
    <t>Factor is generally negative and defines how rounded or sharp is the initial bend in the curve. Factor variese from -0.1 to -1.5</t>
  </si>
  <si>
    <t>Gradient factor</t>
  </si>
  <si>
    <t>Factor approximately represents the gradient of the curve from the origin to the peak of the curve</t>
  </si>
  <si>
    <t>Unknown</t>
  </si>
  <si>
    <t>Static Camber</t>
  </si>
  <si>
    <t>Tyre/wheel setup</t>
  </si>
  <si>
    <t>Front tyres Optimum SR</t>
  </si>
  <si>
    <t>Front tyres terminal SR</t>
  </si>
  <si>
    <t>Rear tyres Optimum SR</t>
  </si>
  <si>
    <t>Rear tyres terminal SR</t>
  </si>
  <si>
    <t>This parameter is not yet used</t>
  </si>
  <si>
    <t>Tyre discrete data - normalised coefficient</t>
  </si>
  <si>
    <t>Resultant correction factor</t>
  </si>
  <si>
    <t>Current Value</t>
  </si>
  <si>
    <t>Units / Comment</t>
  </si>
  <si>
    <t>unitless</t>
  </si>
  <si>
    <t>Longitudinal deceleration plot</t>
  </si>
  <si>
    <t>Stable Output</t>
  </si>
  <si>
    <t>Social Media Platforms</t>
  </si>
  <si>
    <t>https://linktr.ee/bhavikjoshi</t>
  </si>
  <si>
    <t>Email Id</t>
  </si>
  <si>
    <t>dpdesign.engineeringsolutions@gmail.com</t>
  </si>
  <si>
    <t>PREPARED BY : BHAVIK JOSHI</t>
  </si>
  <si>
    <t>Critical Input</t>
  </si>
  <si>
    <t>Input</t>
  </si>
  <si>
    <t>BRAKES CALCULATION</t>
  </si>
  <si>
    <t>Intermediate Calculations</t>
  </si>
  <si>
    <t>Tyre coefficients</t>
  </si>
  <si>
    <t>Recheck</t>
  </si>
  <si>
    <t xml:space="preserve"> simplified model to calculate bias for uniform front and rear braking</t>
  </si>
  <si>
    <t>simplified model</t>
  </si>
  <si>
    <t>MRF 155/65 R13</t>
  </si>
  <si>
    <t>https://www.amazon.in/MRF-ZLX-155-Tubeless-Tyre/dp/B00Y0UDP62</t>
  </si>
  <si>
    <t>LxWxB 13.97x6.69x20.47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</si>
</sst>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2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i/>
      <sz val="12"/>
      <name val="Arial"/>
      <family val="2"/>
    </font>
    <font>
      <b/>
      <sz val="22"/>
      <name val="Arial"/>
      <family val="2"/>
    </font>
    <font>
      <b/>
      <i/>
      <u/>
      <sz val="14"/>
      <color indexed="12"/>
      <name val="Arial"/>
      <family val="2"/>
    </font>
    <font>
      <b/>
      <i/>
      <u/>
      <sz val="20"/>
      <color indexed="12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1"/>
      <color rgb="FF9C0006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66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b/>
      <sz val="26"/>
      <name val="Arial"/>
      <family val="2"/>
    </font>
    <font>
      <b/>
      <sz val="10"/>
      <color indexed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9"/>
      </patternFill>
    </fill>
    <fill>
      <patternFill patternType="solid">
        <fgColor theme="7" tint="-0.249977111117893"/>
        <bgColor indexed="9"/>
      </patternFill>
    </fill>
    <fill>
      <patternFill patternType="solid">
        <fgColor theme="6" tint="0.59999389629810485"/>
        <bgColor indexed="9"/>
      </patternFill>
    </fill>
    <fill>
      <patternFill patternType="solid">
        <fgColor rgb="FF92D050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4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/>
    <xf numFmtId="0" fontId="0" fillId="3" borderId="0" xfId="0" applyFill="1"/>
    <xf numFmtId="0" fontId="6" fillId="3" borderId="2" xfId="0" applyFont="1" applyFill="1" applyBorder="1"/>
    <xf numFmtId="0" fontId="6" fillId="3" borderId="0" xfId="0" applyFont="1" applyFill="1"/>
    <xf numFmtId="0" fontId="5" fillId="3" borderId="0" xfId="2" applyFill="1" applyAlignment="1" applyProtection="1"/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/>
    <xf numFmtId="0" fontId="6" fillId="3" borderId="3" xfId="0" applyFont="1" applyFill="1" applyBorder="1"/>
    <xf numFmtId="2" fontId="0" fillId="3" borderId="0" xfId="0" applyNumberFormat="1" applyFill="1"/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4" fillId="3" borderId="1" xfId="0" applyFont="1" applyFill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4" fillId="3" borderId="4" xfId="0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0" fontId="0" fillId="3" borderId="0" xfId="0" applyFill="1" applyProtection="1">
      <protection locked="0"/>
    </xf>
    <xf numFmtId="0" fontId="0" fillId="3" borderId="7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4" fillId="3" borderId="9" xfId="0" applyFont="1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6" fillId="3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9" fillId="6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0" fillId="3" borderId="9" xfId="0" applyFill="1" applyBorder="1"/>
    <xf numFmtId="0" fontId="0" fillId="3" borderId="13" xfId="0" applyFill="1" applyBorder="1" applyAlignment="1">
      <alignment horizontal="center" vertical="center"/>
    </xf>
    <xf numFmtId="166" fontId="18" fillId="8" borderId="9" xfId="0" applyNumberFormat="1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4" fillId="3" borderId="16" xfId="0" applyFont="1" applyFill="1" applyBorder="1" applyAlignment="1">
      <alignment wrapText="1"/>
    </xf>
    <xf numFmtId="0" fontId="0" fillId="3" borderId="16" xfId="0" applyFill="1" applyBorder="1" applyAlignment="1">
      <alignment wrapText="1"/>
    </xf>
    <xf numFmtId="0" fontId="20" fillId="10" borderId="9" xfId="0" applyFont="1" applyFill="1" applyBorder="1" applyAlignment="1" applyProtection="1">
      <alignment horizontal="center" vertical="center"/>
      <protection locked="0"/>
    </xf>
    <xf numFmtId="0" fontId="14" fillId="3" borderId="9" xfId="1" applyFill="1" applyBorder="1" applyAlignment="1">
      <alignment horizontal="left" vertical="center"/>
    </xf>
    <xf numFmtId="0" fontId="1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16" fillId="3" borderId="9" xfId="0" applyFont="1" applyFill="1" applyBorder="1" applyAlignment="1">
      <alignment horizontal="center" vertical="center"/>
    </xf>
    <xf numFmtId="0" fontId="3" fillId="3" borderId="9" xfId="0" applyFont="1" applyFill="1" applyBorder="1"/>
    <xf numFmtId="2" fontId="0" fillId="3" borderId="9" xfId="0" applyNumberFormat="1" applyFill="1" applyBorder="1"/>
    <xf numFmtId="0" fontId="6" fillId="3" borderId="9" xfId="0" applyFont="1" applyFill="1" applyBorder="1"/>
    <xf numFmtId="0" fontId="23" fillId="3" borderId="9" xfId="0" applyFont="1" applyFill="1" applyBorder="1"/>
    <xf numFmtId="165" fontId="0" fillId="3" borderId="9" xfId="0" applyNumberForma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0" fillId="3" borderId="9" xfId="0" applyNumberFormat="1" applyFill="1" applyBorder="1" applyAlignment="1">
      <alignment horizontal="center" vertical="center"/>
    </xf>
    <xf numFmtId="0" fontId="0" fillId="3" borderId="18" xfId="0" applyFill="1" applyBorder="1"/>
    <xf numFmtId="0" fontId="18" fillId="3" borderId="0" xfId="0" applyFont="1" applyFill="1"/>
    <xf numFmtId="0" fontId="16" fillId="5" borderId="9" xfId="0" applyFont="1" applyFill="1" applyBorder="1" applyAlignment="1" applyProtection="1">
      <alignment horizontal="center" vertical="center"/>
      <protection locked="0"/>
    </xf>
    <xf numFmtId="166" fontId="18" fillId="8" borderId="9" xfId="0" applyNumberFormat="1" applyFont="1" applyFill="1" applyBorder="1" applyAlignment="1" applyProtection="1">
      <alignment horizontal="center" vertical="center"/>
    </xf>
    <xf numFmtId="0" fontId="19" fillId="6" borderId="9" xfId="0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4" fillId="4" borderId="0" xfId="0" applyFont="1" applyFill="1" applyAlignment="1" applyProtection="1">
      <alignment horizontal="center" vertical="center" wrapText="1"/>
    </xf>
    <xf numFmtId="0" fontId="4" fillId="0" borderId="0" xfId="0" applyFont="1" applyAlignment="1" applyProtection="1">
      <alignment vertical="center" wrapText="1"/>
    </xf>
    <xf numFmtId="0" fontId="4" fillId="4" borderId="0" xfId="0" applyFont="1" applyFill="1" applyAlignment="1" applyProtection="1">
      <alignment wrapText="1"/>
    </xf>
    <xf numFmtId="0" fontId="0" fillId="0" borderId="0" xfId="0" applyProtection="1"/>
    <xf numFmtId="0" fontId="8" fillId="3" borderId="0" xfId="0" applyFont="1" applyFill="1" applyAlignment="1" applyProtection="1">
      <alignment wrapText="1"/>
    </xf>
    <xf numFmtId="0" fontId="4" fillId="3" borderId="0" xfId="0" applyFont="1" applyFill="1" applyAlignment="1" applyProtection="1">
      <alignment wrapText="1"/>
    </xf>
    <xf numFmtId="0" fontId="1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20" fillId="10" borderId="17" xfId="0" applyFont="1" applyFill="1" applyBorder="1" applyAlignment="1" applyProtection="1">
      <alignment horizontal="center" vertical="center"/>
      <protection locked="0"/>
    </xf>
    <xf numFmtId="0" fontId="16" fillId="5" borderId="16" xfId="0" applyFont="1" applyFill="1" applyBorder="1" applyAlignment="1" applyProtection="1">
      <alignment horizontal="center" vertical="center"/>
      <protection locked="0"/>
    </xf>
    <xf numFmtId="0" fontId="16" fillId="5" borderId="10" xfId="0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7" fillId="9" borderId="1" xfId="0" applyFont="1" applyFill="1" applyBorder="1" applyAlignment="1" applyProtection="1">
      <alignment horizontal="center" vertical="center" wrapText="1"/>
    </xf>
    <xf numFmtId="0" fontId="7" fillId="9" borderId="2" xfId="0" applyFont="1" applyFill="1" applyBorder="1" applyAlignment="1" applyProtection="1">
      <alignment horizontal="center" vertical="center" wrapText="1"/>
    </xf>
    <xf numFmtId="0" fontId="7" fillId="9" borderId="3" xfId="0" applyFont="1" applyFill="1" applyBorder="1" applyAlignment="1" applyProtection="1">
      <alignment horizontal="center" vertical="center" wrapText="1"/>
    </xf>
    <xf numFmtId="0" fontId="12" fillId="3" borderId="11" xfId="0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166" fontId="18" fillId="8" borderId="10" xfId="0" applyNumberFormat="1" applyFont="1" applyFill="1" applyBorder="1" applyAlignment="1" applyProtection="1">
      <alignment horizontal="center" vertical="center"/>
    </xf>
    <xf numFmtId="166" fontId="18" fillId="8" borderId="15" xfId="0" applyNumberFormat="1" applyFont="1" applyFill="1" applyBorder="1" applyAlignment="1" applyProtection="1">
      <alignment horizontal="center" vertical="center"/>
    </xf>
    <xf numFmtId="166" fontId="18" fillId="8" borderId="16" xfId="0" applyNumberFormat="1" applyFont="1" applyFill="1" applyBorder="1" applyAlignment="1" applyProtection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10" fillId="0" borderId="1" xfId="2" applyFont="1" applyBorder="1" applyAlignment="1" applyProtection="1">
      <alignment horizontal="center" vertical="center" wrapText="1"/>
    </xf>
    <xf numFmtId="0" fontId="10" fillId="0" borderId="2" xfId="2" applyFont="1" applyBorder="1" applyAlignment="1" applyProtection="1">
      <alignment horizontal="center" vertical="center" wrapText="1"/>
    </xf>
    <xf numFmtId="0" fontId="10" fillId="0" borderId="3" xfId="2" applyFont="1" applyBorder="1" applyAlignment="1" applyProtection="1">
      <alignment horizontal="center" vertical="center" wrapText="1"/>
    </xf>
    <xf numFmtId="0" fontId="11" fillId="0" borderId="1" xfId="2" applyFont="1" applyBorder="1" applyAlignment="1" applyProtection="1">
      <alignment horizontal="center" vertical="center" wrapText="1"/>
    </xf>
    <xf numFmtId="0" fontId="11" fillId="0" borderId="2" xfId="2" applyFont="1" applyBorder="1" applyAlignment="1" applyProtection="1">
      <alignment horizontal="center" vertical="center" wrapText="1"/>
    </xf>
    <xf numFmtId="0" fontId="11" fillId="0" borderId="3" xfId="2" applyFont="1" applyBorder="1" applyAlignment="1" applyProtection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22" fillId="3" borderId="9" xfId="0" applyFont="1" applyFill="1" applyBorder="1" applyAlignment="1">
      <alignment horizontal="center" vertical="center"/>
    </xf>
    <xf numFmtId="0" fontId="1" fillId="3" borderId="0" xfId="0" applyFont="1" applyFill="1"/>
    <xf numFmtId="0" fontId="5" fillId="3" borderId="9" xfId="2" applyFill="1" applyBorder="1" applyAlignment="1" applyProtection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">
    <dxf>
      <font>
        <b/>
        <i/>
        <condense val="0"/>
        <extend val="0"/>
        <color indexed="57"/>
      </font>
      <fill>
        <patternFill>
          <bgColor indexed="42"/>
        </patternFill>
      </fill>
    </dxf>
    <dxf>
      <font>
        <b/>
        <i val="0"/>
        <strike val="0"/>
        <condense val="0"/>
        <extend val="0"/>
        <u/>
        <color indexed="10"/>
      </font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hartsheet" Target="chartsheets/sheet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hartsheet" Target="chartsheets/sheet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Braking g meter (iterative model)</a:t>
            </a:r>
          </a:p>
        </c:rich>
      </c:tx>
      <c:layout>
        <c:manualLayout>
          <c:xMode val="edge"/>
          <c:yMode val="edge"/>
          <c:x val="2.403846153846154E-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92355093982622"/>
          <c:y val="0.25757702798013327"/>
          <c:w val="0.60096294922567328"/>
          <c:h val="0.63131624504934625"/>
        </c:manualLayout>
      </c:layout>
      <c:doughnutChart>
        <c:varyColors val="1"/>
        <c:ser>
          <c:idx val="0"/>
          <c:order val="0"/>
          <c:tx>
            <c:strRef>
              <c:f>'Pedal Char.'!$D$13:$F$13</c:f>
              <c:strCache>
                <c:ptCount val="1"/>
                <c:pt idx="0">
                  <c:v>0.584 g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C858-44B0-A254-0B01FAD06FF8}"/>
              </c:ext>
            </c:extLst>
          </c:dPt>
          <c:dPt>
            <c:idx val="1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858-44B0-A254-0B01FAD06FF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58-44B0-A254-0B01FAD06FF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('Pedal Char.'!$D$13,'Pedal Char.'!$D$38)</c:f>
              <c:numCache>
                <c:formatCode>0.0</c:formatCode>
                <c:ptCount val="2"/>
                <c:pt idx="0" formatCode="0.000">
                  <c:v>0.58419795224874338</c:v>
                </c:pt>
                <c:pt idx="1">
                  <c:v>1.4158020477512565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58-44B0-A254-0B01FAD0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80"/>
        <c:holeSize val="5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Braking g (Olley simplified model)</a:t>
            </a:r>
          </a:p>
        </c:rich>
      </c:tx>
      <c:layout>
        <c:manualLayout>
          <c:xMode val="edge"/>
          <c:yMode val="edge"/>
          <c:x val="2.336448598130841E-2"/>
          <c:y val="5.07619542481047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28085362709373"/>
          <c:y val="0.25380710659898476"/>
          <c:w val="0.58411348229748261"/>
          <c:h val="0.63451776649746194"/>
        </c:manualLayout>
      </c:layout>
      <c:doughnutChart>
        <c:varyColors val="1"/>
        <c:ser>
          <c:idx val="0"/>
          <c:order val="0"/>
          <c:tx>
            <c:strRef>
              <c:f>'Brake Bias Calc.'!$D$13:$E$13</c:f>
              <c:strCache>
                <c:ptCount val="1"/>
                <c:pt idx="0">
                  <c:v>1.211824258 g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00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1F50-4E1D-8EC7-F3A97F45DE10}"/>
              </c:ext>
            </c:extLst>
          </c:dPt>
          <c:dPt>
            <c:idx val="1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F50-4E1D-8EC7-F3A97F45DE1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50-4E1D-8EC7-F3A97F45DE10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5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'Brake Bias Calc.'!$D$13:$D$14</c:f>
              <c:numCache>
                <c:formatCode>General</c:formatCode>
                <c:ptCount val="2"/>
                <c:pt idx="0">
                  <c:v>1.2118242579123257</c:v>
                </c:pt>
                <c:pt idx="1">
                  <c:v>0.78817574208767427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50-4E1D-8EC7-F3A97F45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80"/>
        <c:holeSize val="5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Brake bias comparison for optimum braking</a:t>
            </a:r>
          </a:p>
        </c:rich>
      </c:tx>
      <c:layout>
        <c:manualLayout>
          <c:xMode val="edge"/>
          <c:yMode val="edge"/>
          <c:x val="0.22178244160485741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75259587000684"/>
          <c:y val="0.23232437817815943"/>
          <c:w val="0.61980257948114503"/>
          <c:h val="0.56060882560381942"/>
        </c:manualLayout>
      </c:layout>
      <c:barChart>
        <c:barDir val="bar"/>
        <c:grouping val="clustered"/>
        <c:varyColors val="0"/>
        <c:ser>
          <c:idx val="0"/>
          <c:order val="0"/>
          <c:tx>
            <c:v>Iterative model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'Pedal Char.'!$D$12</c:f>
              <c:numCache>
                <c:formatCode>0.000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B-4BD2-9051-557B06D1F69B}"/>
            </c:ext>
          </c:extLst>
        </c:ser>
        <c:ser>
          <c:idx val="1"/>
          <c:order val="1"/>
          <c:tx>
            <c:v>Olley model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'Pedal Char.'!$D$20</c:f>
              <c:numCache>
                <c:formatCode>0.000</c:formatCode>
                <c:ptCount val="1"/>
                <c:pt idx="0">
                  <c:v>0.7185113268608414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B-4BD2-9051-557B06D1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6228992"/>
        <c:axId val="1"/>
      </c:barChart>
      <c:catAx>
        <c:axId val="1966228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Brake bias (front)</a:t>
                </a:r>
              </a:p>
            </c:rich>
          </c:tx>
          <c:layout>
            <c:manualLayout>
              <c:xMode val="edge"/>
              <c:yMode val="edge"/>
              <c:x val="3.1683089903897413E-2"/>
              <c:y val="0.29798085845329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228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18819963752113"/>
          <c:y val="0.41414406532516768"/>
          <c:w val="0.17227737248511255"/>
          <c:h val="0.1969707574431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Deceleration vs iteration step</a:t>
            </a:r>
          </a:p>
        </c:rich>
      </c:tx>
      <c:layout>
        <c:manualLayout>
          <c:xMode val="edge"/>
          <c:yMode val="edge"/>
          <c:x val="0.3826267110617832"/>
          <c:y val="2.0338983050847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361820199778023E-2"/>
          <c:y val="0.12542372881355932"/>
          <c:w val="0.68035516093229742"/>
          <c:h val="0.764406779661017"/>
        </c:manualLayout>
      </c:layout>
      <c:scatterChart>
        <c:scatterStyle val="smoothMarker"/>
        <c:varyColors val="0"/>
        <c:ser>
          <c:idx val="0"/>
          <c:order val="0"/>
          <c:tx>
            <c:v>Instantaneous deceleration (G)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'Rolling or Skidding'!$E$5:$AC$5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'Rolling or Skidding'!$E$45:$AC$45</c:f>
              <c:numCache>
                <c:formatCode>General</c:formatCode>
                <c:ptCount val="25"/>
                <c:pt idx="0">
                  <c:v>0.64081750671146598</c:v>
                </c:pt>
                <c:pt idx="1">
                  <c:v>0.64081750671146609</c:v>
                </c:pt>
                <c:pt idx="2">
                  <c:v>0.57667914163843315</c:v>
                </c:pt>
                <c:pt idx="3">
                  <c:v>0.57971987526661972</c:v>
                </c:pt>
                <c:pt idx="4">
                  <c:v>0.57933546539799186</c:v>
                </c:pt>
                <c:pt idx="5">
                  <c:v>0.57938420470957552</c:v>
                </c:pt>
                <c:pt idx="6">
                  <c:v>0.57937802733896393</c:v>
                </c:pt>
                <c:pt idx="7">
                  <c:v>0.57937881031466287</c:v>
                </c:pt>
                <c:pt idx="8">
                  <c:v>0.57937871107384653</c:v>
                </c:pt>
                <c:pt idx="9">
                  <c:v>0.57937872365245779</c:v>
                </c:pt>
                <c:pt idx="10">
                  <c:v>0.57937872205813945</c:v>
                </c:pt>
                <c:pt idx="11">
                  <c:v>0.57937872226021681</c:v>
                </c:pt>
                <c:pt idx="12">
                  <c:v>0.57937872223460374</c:v>
                </c:pt>
                <c:pt idx="13">
                  <c:v>0.57937872223785025</c:v>
                </c:pt>
                <c:pt idx="14">
                  <c:v>0.57937872223743869</c:v>
                </c:pt>
                <c:pt idx="15">
                  <c:v>0.57937872223749076</c:v>
                </c:pt>
                <c:pt idx="16">
                  <c:v>0.57937872223748443</c:v>
                </c:pt>
                <c:pt idx="17">
                  <c:v>0.57937872223748521</c:v>
                </c:pt>
                <c:pt idx="18">
                  <c:v>0.57937872223748488</c:v>
                </c:pt>
                <c:pt idx="19">
                  <c:v>0.5793787222374851</c:v>
                </c:pt>
                <c:pt idx="20">
                  <c:v>0.57937872223748488</c:v>
                </c:pt>
                <c:pt idx="21">
                  <c:v>0.5793787222374851</c:v>
                </c:pt>
                <c:pt idx="22">
                  <c:v>0.57937872223748488</c:v>
                </c:pt>
                <c:pt idx="23">
                  <c:v>0.5793787222374851</c:v>
                </c:pt>
                <c:pt idx="24">
                  <c:v>0.57937872223748488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4D-45F0-AD25-9910E580E4E0}"/>
            </c:ext>
          </c:extLst>
        </c:ser>
        <c:ser>
          <c:idx val="1"/>
          <c:order val="1"/>
          <c:tx>
            <c:strRef>
              <c:f>'Rolling or Skidding'!$E$46</c:f>
              <c:strCache>
                <c:ptCount val="1"/>
                <c:pt idx="0">
                  <c:v>0.58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'Rolling or Skidding'!$E$5:$AC$5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'Rolling or Skidding'!$E$46:$AC$46</c:f>
              <c:numCache>
                <c:formatCode>0.00</c:formatCode>
                <c:ptCount val="25"/>
                <c:pt idx="0">
                  <c:v>0.58419795224874338</c:v>
                </c:pt>
                <c:pt idx="1">
                  <c:v>0.58419795224874338</c:v>
                </c:pt>
                <c:pt idx="2">
                  <c:v>0.58419795224874338</c:v>
                </c:pt>
                <c:pt idx="3">
                  <c:v>0.58419795224874338</c:v>
                </c:pt>
                <c:pt idx="4">
                  <c:v>0.58419795224874338</c:v>
                </c:pt>
                <c:pt idx="5">
                  <c:v>0.58419795224874338</c:v>
                </c:pt>
                <c:pt idx="6">
                  <c:v>0.58419795224874338</c:v>
                </c:pt>
                <c:pt idx="7">
                  <c:v>0.58419795224874338</c:v>
                </c:pt>
                <c:pt idx="8">
                  <c:v>0.58419795224874338</c:v>
                </c:pt>
                <c:pt idx="9">
                  <c:v>0.58419795224874338</c:v>
                </c:pt>
                <c:pt idx="10">
                  <c:v>0.58419795224874338</c:v>
                </c:pt>
                <c:pt idx="11">
                  <c:v>0.58419795224874338</c:v>
                </c:pt>
                <c:pt idx="12">
                  <c:v>0.58419795224874338</c:v>
                </c:pt>
                <c:pt idx="13">
                  <c:v>0.58419795224874338</c:v>
                </c:pt>
                <c:pt idx="14">
                  <c:v>0.58419795224874338</c:v>
                </c:pt>
                <c:pt idx="15">
                  <c:v>0.58419795224874338</c:v>
                </c:pt>
                <c:pt idx="16">
                  <c:v>0.58419795224874338</c:v>
                </c:pt>
                <c:pt idx="17">
                  <c:v>0.58419795224874338</c:v>
                </c:pt>
                <c:pt idx="18">
                  <c:v>0.58419795224874338</c:v>
                </c:pt>
                <c:pt idx="19">
                  <c:v>0.58419795224874338</c:v>
                </c:pt>
                <c:pt idx="20">
                  <c:v>0.58419795224874338</c:v>
                </c:pt>
                <c:pt idx="21">
                  <c:v>0.58419795224874338</c:v>
                </c:pt>
                <c:pt idx="22">
                  <c:v>0.58419795224874338</c:v>
                </c:pt>
                <c:pt idx="23">
                  <c:v>0.58419795224874338</c:v>
                </c:pt>
                <c:pt idx="24">
                  <c:v>0.58419795224874338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4D-45F0-AD25-9910E580E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248784"/>
        <c:axId val="1"/>
      </c:scatterChart>
      <c:valAx>
        <c:axId val="196524878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Iteration step number</a:t>
                </a:r>
              </a:p>
            </c:rich>
          </c:tx>
          <c:layout>
            <c:manualLayout>
              <c:xMode val="edge"/>
              <c:yMode val="edge"/>
              <c:x val="0.33919337219362566"/>
              <c:y val="0.94237288135593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Deceleration (G)</a:t>
                </a:r>
              </a:p>
            </c:rich>
          </c:tx>
          <c:layout>
            <c:manualLayout>
              <c:xMode val="edge"/>
              <c:yMode val="edge"/>
              <c:x val="1.137540382368963E-2"/>
              <c:y val="0.430508474576271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24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Force vs Slip Ratio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'TYRE-PACEJKA'!$B$88</c:f>
              <c:strCache>
                <c:ptCount val="1"/>
                <c:pt idx="0">
                  <c:v>686.7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'TYRE-PACEJKA'!$B$89:$Z$89</c:f>
              <c:numCache>
                <c:formatCode>General</c:formatCode>
                <c:ptCount val="25"/>
                <c:pt idx="0">
                  <c:v>2.7185536702337533E-3</c:v>
                </c:pt>
                <c:pt idx="1">
                  <c:v>3.4387223757496609E-3</c:v>
                </c:pt>
                <c:pt idx="2">
                  <c:v>4.3496700863237476E-3</c:v>
                </c:pt>
                <c:pt idx="3">
                  <c:v>5.501935833286062E-3</c:v>
                </c:pt>
                <c:pt idx="4">
                  <c:v>6.9594468805292487E-3</c:v>
                </c:pt>
                <c:pt idx="5">
                  <c:v>8.803065384712214E-3</c:v>
                </c:pt>
                <c:pt idx="6">
                  <c:v>1.1135074596851468E-2</c:v>
                </c:pt>
                <c:pt idx="7">
                  <c:v>1.4084853498052288E-2</c:v>
                </c:pt>
                <c:pt idx="8">
                  <c:v>1.7816054696004481E-2</c:v>
                </c:pt>
                <c:pt idx="9">
                  <c:v>2.2535683809200881E-2</c:v>
                </c:pt>
                <c:pt idx="10">
                  <c:v>2.8505584059650042E-2</c:v>
                </c:pt>
                <c:pt idx="11">
                  <c:v>3.6056963234903885E-2</c:v>
                </c:pt>
                <c:pt idx="12">
                  <c:v>4.5608768969709411E-2</c:v>
                </c:pt>
                <c:pt idx="13">
                  <c:v>5.7690931800898036E-2</c:v>
                </c:pt>
                <c:pt idx="14">
                  <c:v>7.2973765511327185E-2</c:v>
                </c:pt>
                <c:pt idx="15">
                  <c:v>9.2305155882735662E-2</c:v>
                </c:pt>
                <c:pt idx="16">
                  <c:v>0.11675760107532886</c:v>
                </c:pt>
                <c:pt idx="17">
                  <c:v>0.14768771341640041</c:v>
                </c:pt>
                <c:pt idx="18">
                  <c:v>0.18681148373451528</c:v>
                </c:pt>
                <c:pt idx="19">
                  <c:v>0.23629948387579044</c:v>
                </c:pt>
                <c:pt idx="20">
                  <c:v>0.29889728920154401</c:v>
                </c:pt>
                <c:pt idx="21">
                  <c:v>0.37807780206152419</c:v>
                </c:pt>
                <c:pt idx="22">
                  <c:v>0.47823392709088069</c:v>
                </c:pt>
                <c:pt idx="23">
                  <c:v>0.60492228788282154</c:v>
                </c:pt>
                <c:pt idx="24">
                  <c:v>0.76517150634494413</c:v>
                </c:pt>
              </c:numCache>
            </c:numRef>
          </c:xVal>
          <c:yVal>
            <c:numRef>
              <c:f>'TYRE-PACEJKA'!$B$101:$Z$101</c:f>
              <c:numCache>
                <c:formatCode>General</c:formatCode>
                <c:ptCount val="25"/>
                <c:pt idx="0">
                  <c:v>29.861470623647175</c:v>
                </c:pt>
                <c:pt idx="1">
                  <c:v>37.766095868177928</c:v>
                </c:pt>
                <c:pt idx="2">
                  <c:v>47.758636851072374</c:v>
                </c:pt>
                <c:pt idx="3">
                  <c:v>60.385951321253536</c:v>
                </c:pt>
                <c:pt idx="4">
                  <c:v>76.333332166966656</c:v>
                </c:pt>
                <c:pt idx="5">
                  <c:v>96.454521856712063</c:v>
                </c:pt>
                <c:pt idx="6">
                  <c:v>121.80271114315906</c:v>
                </c:pt>
                <c:pt idx="7">
                  <c:v>153.65536547490368</c:v>
                </c:pt>
                <c:pt idx="8">
                  <c:v>193.51579599937264</c:v>
                </c:pt>
                <c:pt idx="9">
                  <c:v>243.05338082000415</c:v>
                </c:pt>
                <c:pt idx="10">
                  <c:v>303.90264035958353</c:v>
                </c:pt>
                <c:pt idx="11">
                  <c:v>377.1712234033152</c:v>
                </c:pt>
                <c:pt idx="12">
                  <c:v>462.44104497864038</c:v>
                </c:pt>
                <c:pt idx="13">
                  <c:v>556.18063239559035</c:v>
                </c:pt>
                <c:pt idx="14">
                  <c:v>650.28544843519569</c:v>
                </c:pt>
                <c:pt idx="15">
                  <c:v>732.93418706169609</c:v>
                </c:pt>
                <c:pt idx="16">
                  <c:v>793.56356483332229</c:v>
                </c:pt>
                <c:pt idx="17">
                  <c:v>828.77593618419667</c:v>
                </c:pt>
                <c:pt idx="18">
                  <c:v>842.98478542544956</c:v>
                </c:pt>
                <c:pt idx="19">
                  <c:v>843.86755392155919</c:v>
                </c:pt>
                <c:pt idx="20">
                  <c:v>838.09096119512049</c:v>
                </c:pt>
                <c:pt idx="21">
                  <c:v>829.90198202519139</c:v>
                </c:pt>
                <c:pt idx="22">
                  <c:v>821.52007830353705</c:v>
                </c:pt>
                <c:pt idx="23">
                  <c:v>813.91687186392789</c:v>
                </c:pt>
                <c:pt idx="24">
                  <c:v>807.41071526212079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9-41D4-AC01-CB66F3EE67C5}"/>
            </c:ext>
          </c:extLst>
        </c:ser>
        <c:ser>
          <c:idx val="1"/>
          <c:order val="1"/>
          <c:tx>
            <c:strRef>
              <c:f>'TYRE-PACEJKA'!$B$106</c:f>
              <c:strCache>
                <c:ptCount val="1"/>
                <c:pt idx="0">
                  <c:v>988.46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'TYRE-PACEJKA'!$B$89:$Z$89</c:f>
              <c:numCache>
                <c:formatCode>General</c:formatCode>
                <c:ptCount val="25"/>
                <c:pt idx="0">
                  <c:v>2.7185536702337533E-3</c:v>
                </c:pt>
                <c:pt idx="1">
                  <c:v>3.4387223757496609E-3</c:v>
                </c:pt>
                <c:pt idx="2">
                  <c:v>4.3496700863237476E-3</c:v>
                </c:pt>
                <c:pt idx="3">
                  <c:v>5.501935833286062E-3</c:v>
                </c:pt>
                <c:pt idx="4">
                  <c:v>6.9594468805292487E-3</c:v>
                </c:pt>
                <c:pt idx="5">
                  <c:v>8.803065384712214E-3</c:v>
                </c:pt>
                <c:pt idx="6">
                  <c:v>1.1135074596851468E-2</c:v>
                </c:pt>
                <c:pt idx="7">
                  <c:v>1.4084853498052288E-2</c:v>
                </c:pt>
                <c:pt idx="8">
                  <c:v>1.7816054696004481E-2</c:v>
                </c:pt>
                <c:pt idx="9">
                  <c:v>2.2535683809200881E-2</c:v>
                </c:pt>
                <c:pt idx="10">
                  <c:v>2.8505584059650042E-2</c:v>
                </c:pt>
                <c:pt idx="11">
                  <c:v>3.6056963234903885E-2</c:v>
                </c:pt>
                <c:pt idx="12">
                  <c:v>4.5608768969709411E-2</c:v>
                </c:pt>
                <c:pt idx="13">
                  <c:v>5.7690931800898036E-2</c:v>
                </c:pt>
                <c:pt idx="14">
                  <c:v>7.2973765511327185E-2</c:v>
                </c:pt>
                <c:pt idx="15">
                  <c:v>9.2305155882735662E-2</c:v>
                </c:pt>
                <c:pt idx="16">
                  <c:v>0.11675760107532886</c:v>
                </c:pt>
                <c:pt idx="17">
                  <c:v>0.14768771341640041</c:v>
                </c:pt>
                <c:pt idx="18">
                  <c:v>0.18681148373451528</c:v>
                </c:pt>
                <c:pt idx="19">
                  <c:v>0.23629948387579044</c:v>
                </c:pt>
                <c:pt idx="20">
                  <c:v>0.29889728920154401</c:v>
                </c:pt>
                <c:pt idx="21">
                  <c:v>0.37807780206152419</c:v>
                </c:pt>
                <c:pt idx="22">
                  <c:v>0.47823392709088069</c:v>
                </c:pt>
                <c:pt idx="23">
                  <c:v>0.60492228788282154</c:v>
                </c:pt>
                <c:pt idx="24">
                  <c:v>0.76517150634494413</c:v>
                </c:pt>
              </c:numCache>
            </c:numRef>
          </c:xVal>
          <c:yVal>
            <c:numRef>
              <c:f>'TYRE-PACEJKA'!$B$119:$Z$119</c:f>
              <c:numCache>
                <c:formatCode>General</c:formatCode>
                <c:ptCount val="25"/>
                <c:pt idx="0">
                  <c:v>42.983644314882696</c:v>
                </c:pt>
                <c:pt idx="1">
                  <c:v>54.36183811637251</c:v>
                </c:pt>
                <c:pt idx="2">
                  <c:v>68.745450793187274</c:v>
                </c:pt>
                <c:pt idx="3">
                  <c:v>86.92164849888978</c:v>
                </c:pt>
                <c:pt idx="4">
                  <c:v>109.87686576415334</c:v>
                </c:pt>
                <c:pt idx="5">
                  <c:v>138.84000933188523</c:v>
                </c:pt>
                <c:pt idx="6">
                  <c:v>175.32707877487982</c:v>
                </c:pt>
                <c:pt idx="7">
                  <c:v>221.17690250045345</c:v>
                </c:pt>
                <c:pt idx="8">
                  <c:v>278.55339910692248</c:v>
                </c:pt>
                <c:pt idx="9">
                  <c:v>349.85952977224105</c:v>
                </c:pt>
                <c:pt idx="10">
                  <c:v>437.44808031074137</c:v>
                </c:pt>
                <c:pt idx="11">
                  <c:v>542.91343909026682</c:v>
                </c:pt>
                <c:pt idx="12">
                  <c:v>665.65379999147524</c:v>
                </c:pt>
                <c:pt idx="13">
                  <c:v>800.58583781828179</c:v>
                </c:pt>
                <c:pt idx="14">
                  <c:v>936.04359848733156</c:v>
                </c:pt>
                <c:pt idx="15">
                  <c:v>1055.0110809991256</c:v>
                </c:pt>
                <c:pt idx="16">
                  <c:v>1142.2831260371388</c:v>
                </c:pt>
                <c:pt idx="17">
                  <c:v>1192.9690438442465</c:v>
                </c:pt>
                <c:pt idx="18">
                  <c:v>1213.4217579656388</c:v>
                </c:pt>
                <c:pt idx="19">
                  <c:v>1214.6924457869918</c:v>
                </c:pt>
                <c:pt idx="20">
                  <c:v>1206.3774163554356</c:v>
                </c:pt>
                <c:pt idx="21">
                  <c:v>1194.5899135770735</c:v>
                </c:pt>
                <c:pt idx="22">
                  <c:v>1182.5247084572736</c:v>
                </c:pt>
                <c:pt idx="23">
                  <c:v>1171.5803874165683</c:v>
                </c:pt>
                <c:pt idx="24">
                  <c:v>1162.2151982484386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9-41D4-AC01-CB66F3EE67C5}"/>
            </c:ext>
          </c:extLst>
        </c:ser>
        <c:ser>
          <c:idx val="2"/>
          <c:order val="2"/>
          <c:tx>
            <c:strRef>
              <c:f>'TYRE-PACEJKA'!$B$124</c:f>
              <c:strCache>
                <c:ptCount val="1"/>
                <c:pt idx="0">
                  <c:v>384.94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'TYRE-PACEJKA'!$B$89:$Z$89</c:f>
              <c:numCache>
                <c:formatCode>General</c:formatCode>
                <c:ptCount val="25"/>
                <c:pt idx="0">
                  <c:v>2.7185536702337533E-3</c:v>
                </c:pt>
                <c:pt idx="1">
                  <c:v>3.4387223757496609E-3</c:v>
                </c:pt>
                <c:pt idx="2">
                  <c:v>4.3496700863237476E-3</c:v>
                </c:pt>
                <c:pt idx="3">
                  <c:v>5.501935833286062E-3</c:v>
                </c:pt>
                <c:pt idx="4">
                  <c:v>6.9594468805292487E-3</c:v>
                </c:pt>
                <c:pt idx="5">
                  <c:v>8.803065384712214E-3</c:v>
                </c:pt>
                <c:pt idx="6">
                  <c:v>1.1135074596851468E-2</c:v>
                </c:pt>
                <c:pt idx="7">
                  <c:v>1.4084853498052288E-2</c:v>
                </c:pt>
                <c:pt idx="8">
                  <c:v>1.7816054696004481E-2</c:v>
                </c:pt>
                <c:pt idx="9">
                  <c:v>2.2535683809200881E-2</c:v>
                </c:pt>
                <c:pt idx="10">
                  <c:v>2.8505584059650042E-2</c:v>
                </c:pt>
                <c:pt idx="11">
                  <c:v>3.6056963234903885E-2</c:v>
                </c:pt>
                <c:pt idx="12">
                  <c:v>4.5608768969709411E-2</c:v>
                </c:pt>
                <c:pt idx="13">
                  <c:v>5.7690931800898036E-2</c:v>
                </c:pt>
                <c:pt idx="14">
                  <c:v>7.2973765511327185E-2</c:v>
                </c:pt>
                <c:pt idx="15">
                  <c:v>9.2305155882735662E-2</c:v>
                </c:pt>
                <c:pt idx="16">
                  <c:v>0.11675760107532886</c:v>
                </c:pt>
                <c:pt idx="17">
                  <c:v>0.14768771341640041</c:v>
                </c:pt>
                <c:pt idx="18">
                  <c:v>0.18681148373451528</c:v>
                </c:pt>
                <c:pt idx="19">
                  <c:v>0.23629948387579044</c:v>
                </c:pt>
                <c:pt idx="20">
                  <c:v>0.29889728920154401</c:v>
                </c:pt>
                <c:pt idx="21">
                  <c:v>0.37807780206152419</c:v>
                </c:pt>
                <c:pt idx="22">
                  <c:v>0.47823392709088069</c:v>
                </c:pt>
                <c:pt idx="23">
                  <c:v>0.60492228788282154</c:v>
                </c:pt>
                <c:pt idx="24">
                  <c:v>0.76517150634494413</c:v>
                </c:pt>
              </c:numCache>
            </c:numRef>
          </c:xVal>
          <c:yVal>
            <c:numRef>
              <c:f>'TYRE-PACEJKA'!$B$137:$Z$137</c:f>
              <c:numCache>
                <c:formatCode>General</c:formatCode>
                <c:ptCount val="25"/>
                <c:pt idx="0">
                  <c:v>16.739296932411644</c:v>
                </c:pt>
                <c:pt idx="1">
                  <c:v>21.170353619983327</c:v>
                </c:pt>
                <c:pt idx="2">
                  <c:v>26.771822908957454</c:v>
                </c:pt>
                <c:pt idx="3">
                  <c:v>33.850254143617271</c:v>
                </c:pt>
                <c:pt idx="4">
                  <c:v>42.789798569779947</c:v>
                </c:pt>
                <c:pt idx="5">
                  <c:v>54.06903438153887</c:v>
                </c:pt>
                <c:pt idx="6">
                  <c:v>68.278343511438237</c:v>
                </c:pt>
                <c:pt idx="7">
                  <c:v>86.133828449353842</c:v>
                </c:pt>
                <c:pt idx="8">
                  <c:v>108.47819289182272</c:v>
                </c:pt>
                <c:pt idx="9">
                  <c:v>136.2472318677672</c:v>
                </c:pt>
                <c:pt idx="10">
                  <c:v>170.3572004084256</c:v>
                </c:pt>
                <c:pt idx="11">
                  <c:v>211.42900771636351</c:v>
                </c:pt>
                <c:pt idx="12">
                  <c:v>259.22828996580535</c:v>
                </c:pt>
                <c:pt idx="13">
                  <c:v>311.77542697289891</c:v>
                </c:pt>
                <c:pt idx="14">
                  <c:v>364.52729838305959</c:v>
                </c:pt>
                <c:pt idx="15">
                  <c:v>410.85729312426616</c:v>
                </c:pt>
                <c:pt idx="16">
                  <c:v>444.84400362950566</c:v>
                </c:pt>
                <c:pt idx="17">
                  <c:v>464.58282852414646</c:v>
                </c:pt>
                <c:pt idx="18">
                  <c:v>472.5478128852601</c:v>
                </c:pt>
                <c:pt idx="19">
                  <c:v>473.0426620561264</c:v>
                </c:pt>
                <c:pt idx="20">
                  <c:v>469.80450603480523</c:v>
                </c:pt>
                <c:pt idx="21">
                  <c:v>465.21405047330899</c:v>
                </c:pt>
                <c:pt idx="22">
                  <c:v>460.51544814980025</c:v>
                </c:pt>
                <c:pt idx="23">
                  <c:v>456.25335631128718</c:v>
                </c:pt>
                <c:pt idx="24">
                  <c:v>452.60623227580265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9-41D4-AC01-CB66F3EE6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254736"/>
        <c:axId val="1"/>
      </c:scatterChart>
      <c:valAx>
        <c:axId val="196525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25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6442640040209812"/>
          <c:y val="5.6445996128617858E-2"/>
          <c:w val="0.27114719919580371"/>
          <c:h val="3.5278994500754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Force vs Vertical Force - Front Tyres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'TYRE-PACEJKA'!$A$8</c:f>
              <c:strCache>
                <c:ptCount val="1"/>
                <c:pt idx="0">
                  <c:v>Front tyres Optimum SR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'TYRE-PACEJKA'!$C$12:$Z$12</c:f>
              <c:numCache>
                <c:formatCode>0.00</c:formatCode>
                <c:ptCount val="24"/>
                <c:pt idx="0">
                  <c:v>988.45997650416007</c:v>
                </c:pt>
                <c:pt idx="1">
                  <c:v>1071.7761377779125</c:v>
                </c:pt>
                <c:pt idx="2">
                  <c:v>1068.1972700551596</c:v>
                </c:pt>
                <c:pt idx="3">
                  <c:v>1068.6497108932481</c:v>
                </c:pt>
                <c:pt idx="4">
                  <c:v>1068.5923459378178</c:v>
                </c:pt>
                <c:pt idx="5">
                  <c:v>1068.5996165491231</c:v>
                </c:pt>
                <c:pt idx="6">
                  <c:v>1068.5986950062329</c:v>
                </c:pt>
                <c:pt idx="7">
                  <c:v>1068.5988118102009</c:v>
                </c:pt>
                <c:pt idx="8">
                  <c:v>1068.5987970054889</c:v>
                </c:pt>
                <c:pt idx="9">
                  <c:v>1068.5987988819618</c:v>
                </c:pt>
                <c:pt idx="10">
                  <c:v>1068.5987986441219</c:v>
                </c:pt>
                <c:pt idx="11">
                  <c:v>1068.5987986742678</c:v>
                </c:pt>
                <c:pt idx="12">
                  <c:v>1068.5987986704467</c:v>
                </c:pt>
                <c:pt idx="13">
                  <c:v>1068.598798670931</c:v>
                </c:pt>
                <c:pt idx="14">
                  <c:v>1068.5987986708697</c:v>
                </c:pt>
                <c:pt idx="15">
                  <c:v>1068.5987986708774</c:v>
                </c:pt>
                <c:pt idx="16">
                  <c:v>1068.5987986708765</c:v>
                </c:pt>
                <c:pt idx="17">
                  <c:v>1068.5987986708767</c:v>
                </c:pt>
                <c:pt idx="18">
                  <c:v>1068.5987986708765</c:v>
                </c:pt>
                <c:pt idx="19">
                  <c:v>1068.5987986708767</c:v>
                </c:pt>
                <c:pt idx="20">
                  <c:v>1068.5987986708765</c:v>
                </c:pt>
                <c:pt idx="21">
                  <c:v>1068.5987986708767</c:v>
                </c:pt>
                <c:pt idx="22">
                  <c:v>1068.5987986708765</c:v>
                </c:pt>
                <c:pt idx="23">
                  <c:v>1068.5987986708767</c:v>
                </c:pt>
              </c:numCache>
            </c:numRef>
          </c:xVal>
          <c:yVal>
            <c:numRef>
              <c:f>'TYRE-PACEJKA'!$C$25:$Z$25</c:f>
              <c:numCache>
                <c:formatCode>General</c:formatCode>
                <c:ptCount val="24"/>
                <c:pt idx="0">
                  <c:v>1215.3085748817175</c:v>
                </c:pt>
                <c:pt idx="1">
                  <c:v>1317.7455451476487</c:v>
                </c:pt>
                <c:pt idx="2">
                  <c:v>1313.3453380222056</c:v>
                </c:pt>
                <c:pt idx="3">
                  <c:v>1313.9016126749236</c:v>
                </c:pt>
                <c:pt idx="4">
                  <c:v>1313.8310826343661</c:v>
                </c:pt>
                <c:pt idx="5">
                  <c:v>1313.8400218291481</c:v>
                </c:pt>
                <c:pt idx="6">
                  <c:v>1313.8388887949297</c:v>
                </c:pt>
                <c:pt idx="7">
                  <c:v>1313.8390324050581</c:v>
                </c:pt>
                <c:pt idx="8">
                  <c:v>1313.839014202709</c:v>
                </c:pt>
                <c:pt idx="9">
                  <c:v>1313.8390165098267</c:v>
                </c:pt>
                <c:pt idx="10">
                  <c:v>1313.8390162174032</c:v>
                </c:pt>
                <c:pt idx="11">
                  <c:v>1313.8390162544677</c:v>
                </c:pt>
                <c:pt idx="12">
                  <c:v>1313.8390162497697</c:v>
                </c:pt>
                <c:pt idx="13">
                  <c:v>1313.8390162503651</c:v>
                </c:pt>
                <c:pt idx="14">
                  <c:v>1313.8390162502897</c:v>
                </c:pt>
                <c:pt idx="15">
                  <c:v>1313.8390162502992</c:v>
                </c:pt>
                <c:pt idx="16">
                  <c:v>1313.8390162502981</c:v>
                </c:pt>
                <c:pt idx="17">
                  <c:v>1313.8390162502983</c:v>
                </c:pt>
                <c:pt idx="18">
                  <c:v>1313.8390162502981</c:v>
                </c:pt>
                <c:pt idx="19">
                  <c:v>1313.8390162502983</c:v>
                </c:pt>
                <c:pt idx="20">
                  <c:v>1313.8390162502981</c:v>
                </c:pt>
                <c:pt idx="21">
                  <c:v>1313.8390162502983</c:v>
                </c:pt>
                <c:pt idx="22">
                  <c:v>1313.8390162502981</c:v>
                </c:pt>
                <c:pt idx="23">
                  <c:v>1313.8390162502983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4-4D52-9788-8816205D60EE}"/>
            </c:ext>
          </c:extLst>
        </c:ser>
        <c:ser>
          <c:idx val="1"/>
          <c:order val="1"/>
          <c:tx>
            <c:strRef>
              <c:f>'TYRE-PACEJKA'!$A$27</c:f>
              <c:strCache>
                <c:ptCount val="1"/>
                <c:pt idx="0">
                  <c:v>Front tyres terminal SR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'TYRE-PACEJKA'!$C$31:$Z$31</c:f>
              <c:numCache>
                <c:formatCode>0.00</c:formatCode>
                <c:ptCount val="24"/>
                <c:pt idx="0">
                  <c:v>988.45997650416007</c:v>
                </c:pt>
                <c:pt idx="1">
                  <c:v>1071.7761377779125</c:v>
                </c:pt>
                <c:pt idx="2">
                  <c:v>1068.1972700551596</c:v>
                </c:pt>
                <c:pt idx="3">
                  <c:v>1068.6497108932481</c:v>
                </c:pt>
                <c:pt idx="4">
                  <c:v>1068.5923459378178</c:v>
                </c:pt>
                <c:pt idx="5">
                  <c:v>1068.5996165491231</c:v>
                </c:pt>
                <c:pt idx="6">
                  <c:v>1068.5986950062329</c:v>
                </c:pt>
                <c:pt idx="7">
                  <c:v>1068.5988118102009</c:v>
                </c:pt>
                <c:pt idx="8">
                  <c:v>1068.5987970054889</c:v>
                </c:pt>
                <c:pt idx="9">
                  <c:v>1068.5987988819618</c:v>
                </c:pt>
                <c:pt idx="10">
                  <c:v>1068.5987986441219</c:v>
                </c:pt>
                <c:pt idx="11">
                  <c:v>1068.5987986742678</c:v>
                </c:pt>
                <c:pt idx="12">
                  <c:v>1068.5987986704467</c:v>
                </c:pt>
                <c:pt idx="13">
                  <c:v>1068.598798670931</c:v>
                </c:pt>
                <c:pt idx="14">
                  <c:v>1068.5987986708697</c:v>
                </c:pt>
                <c:pt idx="15">
                  <c:v>1068.5987986708774</c:v>
                </c:pt>
                <c:pt idx="16">
                  <c:v>1068.5987986708765</c:v>
                </c:pt>
                <c:pt idx="17">
                  <c:v>1068.5987986708767</c:v>
                </c:pt>
                <c:pt idx="18">
                  <c:v>1068.5987986708765</c:v>
                </c:pt>
                <c:pt idx="19">
                  <c:v>1068.5987986708767</c:v>
                </c:pt>
                <c:pt idx="20">
                  <c:v>1068.5987986708765</c:v>
                </c:pt>
                <c:pt idx="21">
                  <c:v>1068.5987986708767</c:v>
                </c:pt>
                <c:pt idx="22">
                  <c:v>1068.5987986708765</c:v>
                </c:pt>
                <c:pt idx="23">
                  <c:v>1068.5987986708767</c:v>
                </c:pt>
              </c:numCache>
            </c:numRef>
          </c:xVal>
          <c:yVal>
            <c:numRef>
              <c:f>'TYRE-PACEJKA'!$C$44:$Z$44</c:f>
              <c:numCache>
                <c:formatCode>General</c:formatCode>
                <c:ptCount val="24"/>
                <c:pt idx="0">
                  <c:v>1153.4236775074367</c:v>
                </c:pt>
                <c:pt idx="1">
                  <c:v>1250.6444405291652</c:v>
                </c:pt>
                <c:pt idx="2">
                  <c:v>1246.4682969642136</c:v>
                </c:pt>
                <c:pt idx="3">
                  <c:v>1246.9962454777872</c:v>
                </c:pt>
                <c:pt idx="4">
                  <c:v>1246.929306907258</c:v>
                </c:pt>
                <c:pt idx="5">
                  <c:v>1246.9377909080561</c:v>
                </c:pt>
                <c:pt idx="6">
                  <c:v>1246.9367155692312</c:v>
                </c:pt>
                <c:pt idx="7">
                  <c:v>1246.9368518665683</c:v>
                </c:pt>
                <c:pt idx="8">
                  <c:v>1246.9368345911034</c:v>
                </c:pt>
                <c:pt idx="9">
                  <c:v>1246.9368367807401</c:v>
                </c:pt>
                <c:pt idx="10">
                  <c:v>1246.9368365032074</c:v>
                </c:pt>
                <c:pt idx="11">
                  <c:v>1246.9368365383841</c:v>
                </c:pt>
                <c:pt idx="12">
                  <c:v>1246.9368365339255</c:v>
                </c:pt>
                <c:pt idx="13">
                  <c:v>1246.9368365344906</c:v>
                </c:pt>
                <c:pt idx="14">
                  <c:v>1246.9368365344189</c:v>
                </c:pt>
                <c:pt idx="15">
                  <c:v>1246.936836534428</c:v>
                </c:pt>
                <c:pt idx="16">
                  <c:v>1246.9368365344269</c:v>
                </c:pt>
                <c:pt idx="17">
                  <c:v>1246.9368365344271</c:v>
                </c:pt>
                <c:pt idx="18">
                  <c:v>1246.9368365344269</c:v>
                </c:pt>
                <c:pt idx="19">
                  <c:v>1246.9368365344271</c:v>
                </c:pt>
                <c:pt idx="20">
                  <c:v>1246.9368365344269</c:v>
                </c:pt>
                <c:pt idx="21">
                  <c:v>1246.9368365344271</c:v>
                </c:pt>
                <c:pt idx="22">
                  <c:v>1246.9368365344269</c:v>
                </c:pt>
                <c:pt idx="23">
                  <c:v>1246.9368365344271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4-4D52-9788-8816205D6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250272"/>
        <c:axId val="1"/>
      </c:scatterChart>
      <c:valAx>
        <c:axId val="196525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25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Force vs Vertical Force - Rear Tyres</a:t>
            </a:r>
          </a:p>
        </c:rich>
      </c:tx>
      <c:layout>
        <c:manualLayout>
          <c:xMode val="edge"/>
          <c:yMode val="edge"/>
          <c:x val="0.30828047722284452"/>
          <c:y val="0.104493207941483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'TYRE-PACEJKA'!$A$46</c:f>
              <c:strCache>
                <c:ptCount val="1"/>
                <c:pt idx="0">
                  <c:v>Rear tyres Optimum SR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'TYRE-PACEJKA'!$C$50:$Z$50</c:f>
              <c:numCache>
                <c:formatCode>0.00</c:formatCode>
                <c:ptCount val="24"/>
                <c:pt idx="0">
                  <c:v>384.94002349583997</c:v>
                </c:pt>
                <c:pt idx="1">
                  <c:v>301.62386222208772</c:v>
                </c:pt>
                <c:pt idx="2">
                  <c:v>305.20272994484037</c:v>
                </c:pt>
                <c:pt idx="3">
                  <c:v>304.75028910675201</c:v>
                </c:pt>
                <c:pt idx="4">
                  <c:v>304.80765406218222</c:v>
                </c:pt>
                <c:pt idx="5">
                  <c:v>304.80038345087701</c:v>
                </c:pt>
                <c:pt idx="6">
                  <c:v>304.8013049937673</c:v>
                </c:pt>
                <c:pt idx="7">
                  <c:v>304.80118818979906</c:v>
                </c:pt>
                <c:pt idx="8">
                  <c:v>304.80120299451119</c:v>
                </c:pt>
                <c:pt idx="9">
                  <c:v>304.80120111803831</c:v>
                </c:pt>
                <c:pt idx="10">
                  <c:v>304.80120135587822</c:v>
                </c:pt>
                <c:pt idx="11">
                  <c:v>304.80120132573234</c:v>
                </c:pt>
                <c:pt idx="12">
                  <c:v>304.80120132955335</c:v>
                </c:pt>
                <c:pt idx="13">
                  <c:v>304.80120132906893</c:v>
                </c:pt>
                <c:pt idx="14">
                  <c:v>304.80120132913032</c:v>
                </c:pt>
                <c:pt idx="15">
                  <c:v>304.8012013291227</c:v>
                </c:pt>
                <c:pt idx="16">
                  <c:v>304.80120132912373</c:v>
                </c:pt>
                <c:pt idx="17">
                  <c:v>304.80120132912339</c:v>
                </c:pt>
                <c:pt idx="18">
                  <c:v>304.80120132912361</c:v>
                </c:pt>
                <c:pt idx="19">
                  <c:v>304.80120132912339</c:v>
                </c:pt>
                <c:pt idx="20">
                  <c:v>304.80120132912361</c:v>
                </c:pt>
                <c:pt idx="21">
                  <c:v>304.80120132912339</c:v>
                </c:pt>
                <c:pt idx="22">
                  <c:v>304.80120132912361</c:v>
                </c:pt>
                <c:pt idx="23">
                  <c:v>304.80120132912339</c:v>
                </c:pt>
              </c:numCache>
            </c:numRef>
          </c:xVal>
          <c:yVal>
            <c:numRef>
              <c:f>'TYRE-PACEJKA'!$C$63:$Z$63</c:f>
              <c:numCache>
                <c:formatCode>General</c:formatCode>
                <c:ptCount val="24"/>
                <c:pt idx="0">
                  <c:v>473.28260373696105</c:v>
                </c:pt>
                <c:pt idx="1">
                  <c:v>370.84563347103034</c:v>
                </c:pt>
                <c:pt idx="2">
                  <c:v>375.24584059647322</c:v>
                </c:pt>
                <c:pt idx="3">
                  <c:v>374.68956594375521</c:v>
                </c:pt>
                <c:pt idx="4">
                  <c:v>374.76009598431244</c:v>
                </c:pt>
                <c:pt idx="5">
                  <c:v>374.75115678953085</c:v>
                </c:pt>
                <c:pt idx="6">
                  <c:v>374.75228982374904</c:v>
                </c:pt>
                <c:pt idx="7">
                  <c:v>374.75214621362056</c:v>
                </c:pt>
                <c:pt idx="8">
                  <c:v>374.75216441596967</c:v>
                </c:pt>
                <c:pt idx="9">
                  <c:v>374.75216210885191</c:v>
                </c:pt>
                <c:pt idx="10">
                  <c:v>374.75216240127537</c:v>
                </c:pt>
                <c:pt idx="11">
                  <c:v>374.75216236421107</c:v>
                </c:pt>
                <c:pt idx="12">
                  <c:v>374.75216236890901</c:v>
                </c:pt>
                <c:pt idx="13">
                  <c:v>374.75216236831346</c:v>
                </c:pt>
                <c:pt idx="14">
                  <c:v>374.75216236838889</c:v>
                </c:pt>
                <c:pt idx="15">
                  <c:v>374.75216236837952</c:v>
                </c:pt>
                <c:pt idx="16">
                  <c:v>374.75216236838082</c:v>
                </c:pt>
                <c:pt idx="17">
                  <c:v>374.75216236838037</c:v>
                </c:pt>
                <c:pt idx="18">
                  <c:v>374.75216236838065</c:v>
                </c:pt>
                <c:pt idx="19">
                  <c:v>374.75216236838037</c:v>
                </c:pt>
                <c:pt idx="20">
                  <c:v>374.75216236838065</c:v>
                </c:pt>
                <c:pt idx="21">
                  <c:v>374.75216236838037</c:v>
                </c:pt>
                <c:pt idx="22">
                  <c:v>374.75216236838065</c:v>
                </c:pt>
                <c:pt idx="23">
                  <c:v>374.75216236838037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B9-4B61-930D-A3D86D2BAA86}"/>
            </c:ext>
          </c:extLst>
        </c:ser>
        <c:ser>
          <c:idx val="3"/>
          <c:order val="1"/>
          <c:tx>
            <c:strRef>
              <c:f>'TYRE-PACEJKA'!$A$65</c:f>
              <c:strCache>
                <c:ptCount val="1"/>
                <c:pt idx="0">
                  <c:v>Rear tyres terminal SR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'TYRE-PACEJKA'!$C$69:$Z$69</c:f>
              <c:numCache>
                <c:formatCode>0.00</c:formatCode>
                <c:ptCount val="24"/>
                <c:pt idx="0">
                  <c:v>384.94002349583997</c:v>
                </c:pt>
                <c:pt idx="1">
                  <c:v>301.62386222208772</c:v>
                </c:pt>
                <c:pt idx="2">
                  <c:v>305.20272994484037</c:v>
                </c:pt>
                <c:pt idx="3">
                  <c:v>304.75028910675201</c:v>
                </c:pt>
                <c:pt idx="4">
                  <c:v>304.80765406218222</c:v>
                </c:pt>
                <c:pt idx="5">
                  <c:v>304.80038345087701</c:v>
                </c:pt>
                <c:pt idx="6">
                  <c:v>304.8013049937673</c:v>
                </c:pt>
                <c:pt idx="7">
                  <c:v>304.80118818979906</c:v>
                </c:pt>
                <c:pt idx="8">
                  <c:v>304.80120299451119</c:v>
                </c:pt>
                <c:pt idx="9">
                  <c:v>304.80120111803831</c:v>
                </c:pt>
                <c:pt idx="10">
                  <c:v>304.80120135587822</c:v>
                </c:pt>
                <c:pt idx="11">
                  <c:v>304.80120132573234</c:v>
                </c:pt>
                <c:pt idx="12">
                  <c:v>304.80120132955335</c:v>
                </c:pt>
                <c:pt idx="13">
                  <c:v>304.80120132906893</c:v>
                </c:pt>
                <c:pt idx="14">
                  <c:v>304.80120132913032</c:v>
                </c:pt>
                <c:pt idx="15">
                  <c:v>304.8012013291227</c:v>
                </c:pt>
                <c:pt idx="16">
                  <c:v>304.80120132912373</c:v>
                </c:pt>
                <c:pt idx="17">
                  <c:v>304.80120132912339</c:v>
                </c:pt>
                <c:pt idx="18">
                  <c:v>304.80120132912361</c:v>
                </c:pt>
                <c:pt idx="19">
                  <c:v>304.80120132912339</c:v>
                </c:pt>
                <c:pt idx="20">
                  <c:v>304.80120132912361</c:v>
                </c:pt>
                <c:pt idx="21">
                  <c:v>304.80120132912339</c:v>
                </c:pt>
                <c:pt idx="22">
                  <c:v>304.80120132912361</c:v>
                </c:pt>
                <c:pt idx="23">
                  <c:v>304.80120132912339</c:v>
                </c:pt>
              </c:numCache>
            </c:numRef>
          </c:xVal>
          <c:yVal>
            <c:numRef>
              <c:f>'TYRE-PACEJKA'!$C$82:$Z$82</c:f>
              <c:numCache>
                <c:formatCode>General</c:formatCode>
                <c:ptCount val="24"/>
                <c:pt idx="0">
                  <c:v>449.18251428918853</c:v>
                </c:pt>
                <c:pt idx="1">
                  <c:v>351.96175126746033</c:v>
                </c:pt>
                <c:pt idx="2">
                  <c:v>356.13789483241192</c:v>
                </c:pt>
                <c:pt idx="3">
                  <c:v>355.60994631883824</c:v>
                </c:pt>
                <c:pt idx="4">
                  <c:v>355.67688488936727</c:v>
                </c:pt>
                <c:pt idx="5">
                  <c:v>355.66840088856935</c:v>
                </c:pt>
                <c:pt idx="6">
                  <c:v>355.66947622739417</c:v>
                </c:pt>
                <c:pt idx="7">
                  <c:v>355.66933993005705</c:v>
                </c:pt>
                <c:pt idx="8">
                  <c:v>355.66935720552186</c:v>
                </c:pt>
                <c:pt idx="9">
                  <c:v>355.66935501588512</c:v>
                </c:pt>
                <c:pt idx="10">
                  <c:v>355.66935529341811</c:v>
                </c:pt>
                <c:pt idx="11">
                  <c:v>355.66935525824113</c:v>
                </c:pt>
                <c:pt idx="12">
                  <c:v>355.66935526269987</c:v>
                </c:pt>
                <c:pt idx="13">
                  <c:v>355.66935526213462</c:v>
                </c:pt>
                <c:pt idx="14">
                  <c:v>355.66935526220618</c:v>
                </c:pt>
                <c:pt idx="15">
                  <c:v>355.66935526219731</c:v>
                </c:pt>
                <c:pt idx="16">
                  <c:v>355.66935526219856</c:v>
                </c:pt>
                <c:pt idx="17">
                  <c:v>355.66935526219811</c:v>
                </c:pt>
                <c:pt idx="18">
                  <c:v>355.66935526219839</c:v>
                </c:pt>
                <c:pt idx="19">
                  <c:v>355.66935526219811</c:v>
                </c:pt>
                <c:pt idx="20">
                  <c:v>355.66935526219839</c:v>
                </c:pt>
                <c:pt idx="21">
                  <c:v>355.66935526219811</c:v>
                </c:pt>
                <c:pt idx="22">
                  <c:v>355.66935526219839</c:v>
                </c:pt>
                <c:pt idx="23">
                  <c:v>355.66935526219811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B9-4B61-930D-A3D86D2BA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248288"/>
        <c:axId val="1"/>
      </c:scatterChart>
      <c:valAx>
        <c:axId val="1965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24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simplified model to calculate bias for uniform front and rear braking</a:t>
            </a:r>
          </a:p>
        </c:rich>
      </c:tx>
      <c:layout>
        <c:manualLayout>
          <c:xMode val="edge"/>
          <c:yMode val="edge"/>
          <c:x val="0.21199588675166994"/>
          <c:y val="2.0338983050847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2130965593784688E-2"/>
          <c:y val="0.12542372881355932"/>
          <c:w val="0.89456159822419534"/>
          <c:h val="0.764406779661017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'Brake Bias Calc.'!$G$17:$G$36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'Brake Bias Calc.'!$H$17:$H$36</c:f>
              <c:numCache>
                <c:formatCode>0.00</c:formatCode>
                <c:ptCount val="20"/>
                <c:pt idx="0">
                  <c:v>0.42394822006472493</c:v>
                </c:pt>
                <c:pt idx="1">
                  <c:v>0.44789644012944985</c:v>
                </c:pt>
                <c:pt idx="2">
                  <c:v>0.47184466019417481</c:v>
                </c:pt>
                <c:pt idx="3">
                  <c:v>0.49579288025889967</c:v>
                </c:pt>
                <c:pt idx="4">
                  <c:v>0.51974110032362464</c:v>
                </c:pt>
                <c:pt idx="5">
                  <c:v>0.5436893203883495</c:v>
                </c:pt>
                <c:pt idx="6">
                  <c:v>0.56763754045307446</c:v>
                </c:pt>
                <c:pt idx="7">
                  <c:v>0.59158576051779943</c:v>
                </c:pt>
                <c:pt idx="8">
                  <c:v>0.61553398058252429</c:v>
                </c:pt>
                <c:pt idx="9">
                  <c:v>0.63948220064724925</c:v>
                </c:pt>
                <c:pt idx="10">
                  <c:v>0.66343042071197411</c:v>
                </c:pt>
                <c:pt idx="11">
                  <c:v>0.68737864077669908</c:v>
                </c:pt>
                <c:pt idx="12">
                  <c:v>0.71132686084142405</c:v>
                </c:pt>
                <c:pt idx="13">
                  <c:v>0.7352750809061489</c:v>
                </c:pt>
                <c:pt idx="14">
                  <c:v>0.75922330097087376</c:v>
                </c:pt>
                <c:pt idx="15">
                  <c:v>0.78317152103559873</c:v>
                </c:pt>
                <c:pt idx="16">
                  <c:v>0.8071197411003237</c:v>
                </c:pt>
                <c:pt idx="17">
                  <c:v>0.83106796116504866</c:v>
                </c:pt>
                <c:pt idx="18">
                  <c:v>0.85501618122977341</c:v>
                </c:pt>
                <c:pt idx="19">
                  <c:v>0.87896440129449838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39-40FE-A3F4-F37D0015C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252256"/>
        <c:axId val="1"/>
      </c:scatterChart>
      <c:valAx>
        <c:axId val="196525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Road friction coefficient (mu)</a:t>
                </a:r>
              </a:p>
            </c:rich>
          </c:tx>
          <c:layout>
            <c:manualLayout>
              <c:xMode val="edge"/>
              <c:yMode val="edge"/>
              <c:x val="0.4312306244738276"/>
              <c:y val="0.94237288135593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  <c:majorUnit val="0.1"/>
        <c:minorUnit val="0.1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Brake bias (front)</a:t>
                </a:r>
              </a:p>
            </c:rich>
          </c:tx>
          <c:layout>
            <c:manualLayout>
              <c:xMode val="edge"/>
              <c:yMode val="edge"/>
              <c:x val="1.137540382368963E-2"/>
              <c:y val="0.427118644067796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252256"/>
        <c:crosses val="autoZero"/>
        <c:crossBetween val="midCat"/>
        <c:majorUnit val="0.0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4"/>
  <sheetViews>
    <sheetView zoomScale="85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2"/>
  <sheetViews>
    <sheetView zoomScale="8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"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4"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6"/>
  <sheetViews>
    <sheetView zoomScale="135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Scroll" dx="16" fmlaLink="$E$7" horiz="1" max="25" page="2" val="12"/>
</file>

<file path=xl/ctrlProps/ctrlProp2.xml><?xml version="1.0" encoding="utf-8"?>
<formControlPr xmlns="http://schemas.microsoft.com/office/spreadsheetml/2009/9/main" objectType="Scroll" dx="16" fmlaLink="$E$8" horiz="1" max="20" page="2" val="6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16" fmlaLink="$E$9" horiz="1" max="1000" page="50" val="40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youtube.com/channel/UC66-pAUIteSfslpfW4GnLSA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104775</xdr:rowOff>
    </xdr:from>
    <xdr:to>
      <xdr:col>1</xdr:col>
      <xdr:colOff>3333750</xdr:colOff>
      <xdr:row>6</xdr:row>
      <xdr:rowOff>219075</xdr:rowOff>
    </xdr:to>
    <xdr:pic>
      <xdr:nvPicPr>
        <xdr:cNvPr id="3204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04775"/>
          <a:ext cx="3533775" cy="2305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104775</xdr:rowOff>
    </xdr:from>
    <xdr:to>
      <xdr:col>6</xdr:col>
      <xdr:colOff>2419350</xdr:colOff>
      <xdr:row>16</xdr:row>
      <xdr:rowOff>28575</xdr:rowOff>
    </xdr:to>
    <xdr:pic>
      <xdr:nvPicPr>
        <xdr:cNvPr id="2210" name="Picture 10" descr="brake-disc-pad-diagram">
          <a:extLst>
            <a:ext uri="{FF2B5EF4-FFF2-40B4-BE49-F238E27FC236}">
              <a16:creationId xmlns:a16="http://schemas.microsoft.com/office/drawing/2014/main" id="{00000000-0008-0000-02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lumMod val="40000"/>
              <a:lumOff val="60000"/>
              <a:tint val="45000"/>
              <a:satMod val="400000"/>
            </a:schemeClr>
          </a:duotone>
        </a:blip>
        <a:srcRect l="9944" r="3592"/>
        <a:stretch>
          <a:fillRect/>
        </a:stretch>
      </xdr:blipFill>
      <xdr:spPr bwMode="auto">
        <a:xfrm>
          <a:off x="5486400" y="1085850"/>
          <a:ext cx="2981325" cy="219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152400</xdr:rowOff>
    </xdr:from>
    <xdr:to>
      <xdr:col>6</xdr:col>
      <xdr:colOff>2400300</xdr:colOff>
      <xdr:row>13</xdr:row>
      <xdr:rowOff>104775</xdr:rowOff>
    </xdr:to>
    <xdr:pic>
      <xdr:nvPicPr>
        <xdr:cNvPr id="9460" name="Picture 10" descr="brake-disc-pad-diagram">
          <a:extLst>
            <a:ext uri="{FF2B5EF4-FFF2-40B4-BE49-F238E27FC236}">
              <a16:creationId xmlns:a16="http://schemas.microsoft.com/office/drawing/2014/main" id="{00000000-0008-0000-0300-0000F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44" r="3592"/>
        <a:stretch>
          <a:fillRect/>
        </a:stretch>
      </xdr:blipFill>
      <xdr:spPr bwMode="auto">
        <a:xfrm>
          <a:off x="5476875" y="962025"/>
          <a:ext cx="2981325" cy="2190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22</xdr:row>
      <xdr:rowOff>28575</xdr:rowOff>
    </xdr:from>
    <xdr:to>
      <xdr:col>1</xdr:col>
      <xdr:colOff>1952625</xdr:colOff>
      <xdr:row>33</xdr:row>
      <xdr:rowOff>133350</xdr:rowOff>
    </xdr:to>
    <xdr:graphicFrame macro="">
      <xdr:nvGraphicFramePr>
        <xdr:cNvPr id="733656" name="Chart 5">
          <a:extLst>
            <a:ext uri="{FF2B5EF4-FFF2-40B4-BE49-F238E27FC236}">
              <a16:creationId xmlns:a16="http://schemas.microsoft.com/office/drawing/2014/main" id="{00000000-0008-0000-0400-0000D831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1</xdr:row>
      <xdr:rowOff>85725</xdr:rowOff>
    </xdr:from>
    <xdr:to>
      <xdr:col>11</xdr:col>
      <xdr:colOff>0</xdr:colOff>
      <xdr:row>15</xdr:row>
      <xdr:rowOff>104775</xdr:rowOff>
    </xdr:to>
    <xdr:grpSp>
      <xdr:nvGrpSpPr>
        <xdr:cNvPr id="733657" name="Group 7">
          <a:extLst>
            <a:ext uri="{FF2B5EF4-FFF2-40B4-BE49-F238E27FC236}">
              <a16:creationId xmlns:a16="http://schemas.microsoft.com/office/drawing/2014/main" id="{00000000-0008-0000-0400-0000D9310B00}"/>
            </a:ext>
          </a:extLst>
        </xdr:cNvPr>
        <xdr:cNvGrpSpPr>
          <a:grpSpLocks/>
        </xdr:cNvGrpSpPr>
      </xdr:nvGrpSpPr>
      <xdr:grpSpPr bwMode="auto">
        <a:xfrm>
          <a:off x="8639175" y="895350"/>
          <a:ext cx="1828800" cy="2352675"/>
          <a:chOff x="8496300" y="295275"/>
          <a:chExt cx="2124075" cy="2295525"/>
        </a:xfrm>
      </xdr:grpSpPr>
      <xdr:pic>
        <xdr:nvPicPr>
          <xdr:cNvPr id="733661" name="Picture 7" descr="brake-pedal-diagram">
            <a:extLst>
              <a:ext uri="{FF2B5EF4-FFF2-40B4-BE49-F238E27FC236}">
                <a16:creationId xmlns:a16="http://schemas.microsoft.com/office/drawing/2014/main" id="{00000000-0008-0000-0400-0000DD310B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5869" t="7898" r="25000" b="9338"/>
          <a:stretch>
            <a:fillRect/>
          </a:stretch>
        </xdr:blipFill>
        <xdr:spPr bwMode="auto">
          <a:xfrm>
            <a:off x="8496300" y="295275"/>
            <a:ext cx="1105362" cy="22955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733662" name="Picture 8" descr="brake-pedal-diagram-b">
            <a:extLst>
              <a:ext uri="{FF2B5EF4-FFF2-40B4-BE49-F238E27FC236}">
                <a16:creationId xmlns:a16="http://schemas.microsoft.com/office/drawing/2014/main" id="{00000000-0008-0000-0400-0000DE310B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9970" t="3404" r="32916" b="14275"/>
          <a:stretch>
            <a:fillRect/>
          </a:stretch>
        </xdr:blipFill>
        <xdr:spPr bwMode="auto">
          <a:xfrm>
            <a:off x="9594172" y="295275"/>
            <a:ext cx="1026203" cy="2276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1971675</xdr:colOff>
      <xdr:row>22</xdr:row>
      <xdr:rowOff>38100</xdr:rowOff>
    </xdr:from>
    <xdr:to>
      <xdr:col>1</xdr:col>
      <xdr:colOff>4010025</xdr:colOff>
      <xdr:row>33</xdr:row>
      <xdr:rowOff>133350</xdr:rowOff>
    </xdr:to>
    <xdr:graphicFrame macro="">
      <xdr:nvGraphicFramePr>
        <xdr:cNvPr id="733658" name="Chart 10">
          <a:extLst>
            <a:ext uri="{FF2B5EF4-FFF2-40B4-BE49-F238E27FC236}">
              <a16:creationId xmlns:a16="http://schemas.microsoft.com/office/drawing/2014/main" id="{00000000-0008-0000-0400-0000DA31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4029075</xdr:colOff>
      <xdr:row>22</xdr:row>
      <xdr:rowOff>28575</xdr:rowOff>
    </xdr:from>
    <xdr:to>
      <xdr:col>9</xdr:col>
      <xdr:colOff>47625</xdr:colOff>
      <xdr:row>33</xdr:row>
      <xdr:rowOff>133350</xdr:rowOff>
    </xdr:to>
    <xdr:graphicFrame macro="">
      <xdr:nvGraphicFramePr>
        <xdr:cNvPr id="733659" name="Chart 13">
          <a:extLst>
            <a:ext uri="{FF2B5EF4-FFF2-40B4-BE49-F238E27FC236}">
              <a16:creationId xmlns:a16="http://schemas.microsoft.com/office/drawing/2014/main" id="{00000000-0008-0000-0400-0000DB31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9525</xdr:colOff>
          <xdr:row>7</xdr:row>
          <xdr:rowOff>0</xdr:rowOff>
        </xdr:to>
        <xdr:sp macro="" textlink="">
          <xdr:nvSpPr>
            <xdr:cNvPr id="13313" name="Scroll Ba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3315" name="Scroll Bar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0</xdr:rowOff>
        </xdr:from>
        <xdr:to>
          <xdr:col>5</xdr:col>
          <xdr:colOff>638175</xdr:colOff>
          <xdr:row>20</xdr:row>
          <xdr:rowOff>47625</xdr:rowOff>
        </xdr:to>
        <xdr:sp macro="" textlink="">
          <xdr:nvSpPr>
            <xdr:cNvPr id="13321" name="Button 9" descr="See bias plot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See Olley bias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9525</xdr:rowOff>
        </xdr:from>
        <xdr:to>
          <xdr:col>4</xdr:col>
          <xdr:colOff>0</xdr:colOff>
          <xdr:row>9</xdr:row>
          <xdr:rowOff>9525</xdr:rowOff>
        </xdr:to>
        <xdr:sp macro="" textlink="">
          <xdr:nvSpPr>
            <xdr:cNvPr id="13324" name="Scroll Bar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0</xdr:rowOff>
        </xdr:from>
        <xdr:to>
          <xdr:col>5</xdr:col>
          <xdr:colOff>638175</xdr:colOff>
          <xdr:row>12</xdr:row>
          <xdr:rowOff>47625</xdr:rowOff>
        </xdr:to>
        <xdr:sp macro="" textlink="">
          <xdr:nvSpPr>
            <xdr:cNvPr id="13326" name="Button 14" descr="See bias plot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See g plot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0941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3</xdr:col>
      <xdr:colOff>190500</xdr:colOff>
      <xdr:row>0</xdr:row>
      <xdr:rowOff>752475</xdr:rowOff>
    </xdr:to>
    <xdr:pic>
      <xdr:nvPicPr>
        <xdr:cNvPr id="108711" name="Picture 4" descr="CattoVehicleDynamics.png">
          <a:extLst>
            <a:ext uri="{FF2B5EF4-FFF2-40B4-BE49-F238E27FC236}">
              <a16:creationId xmlns:a16="http://schemas.microsoft.com/office/drawing/2014/main" id="{00000000-0008-0000-0700-0000A7A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25812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0941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39175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39175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dpdesign.engineeringsolutions@gmail.com" TargetMode="External"/><Relationship Id="rId1" Type="http://schemas.openxmlformats.org/officeDocument/2006/relationships/hyperlink" Target="https://linktr.ee/bhavikjosh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amazon.in/MRF-ZLX-155-Tubeless-Tyre/dp/B00Y0UDP6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O50"/>
  <sheetViews>
    <sheetView tabSelected="1" zoomScaleNormal="100" workbookViewId="0">
      <pane ySplit="1" topLeftCell="A12" activePane="bottomLeft" state="frozen"/>
      <selection pane="bottomLeft" activeCell="C23" sqref="C23"/>
    </sheetView>
  </sheetViews>
  <sheetFormatPr defaultRowHeight="12.75" x14ac:dyDescent="0.2"/>
  <cols>
    <col min="1" max="1" width="9.140625" style="1"/>
    <col min="2" max="2" width="52.42578125" style="1" customWidth="1"/>
    <col min="3" max="3" width="12" style="1" bestFit="1" customWidth="1"/>
    <col min="4" max="4" width="12.7109375" style="1" customWidth="1"/>
    <col min="5" max="5" width="7.85546875" style="1" customWidth="1"/>
    <col min="6" max="6" width="9.140625" style="1" customWidth="1"/>
    <col min="7" max="7" width="5" style="1" customWidth="1"/>
    <col min="8" max="8" width="46.140625" style="1" customWidth="1"/>
    <col min="9" max="9" width="7.28515625" style="1" bestFit="1" customWidth="1"/>
    <col min="10" max="10" width="12" style="1" bestFit="1" customWidth="1"/>
    <col min="11" max="11" width="5.28515625" style="1" bestFit="1" customWidth="1"/>
    <col min="12" max="12" width="9.140625" style="1"/>
    <col min="13" max="13" width="21.85546875" style="1" customWidth="1"/>
    <col min="14" max="16384" width="9.140625" style="1"/>
  </cols>
  <sheetData>
    <row r="1" spans="1:15" ht="13.5" thickBot="1" x14ac:dyDescent="0.25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15" s="19" customFormat="1" ht="45.75" customHeight="1" thickBot="1" x14ac:dyDescent="0.25">
      <c r="A2" s="66"/>
      <c r="B2" s="66"/>
      <c r="C2" s="66"/>
      <c r="D2" s="78" t="s">
        <v>240</v>
      </c>
      <c r="E2" s="80"/>
      <c r="F2" s="93" t="s">
        <v>241</v>
      </c>
      <c r="G2" s="94"/>
      <c r="H2" s="94"/>
      <c r="I2" s="95"/>
      <c r="J2" s="65"/>
      <c r="K2" s="77"/>
      <c r="L2" s="77"/>
      <c r="M2" s="33" t="s">
        <v>246</v>
      </c>
    </row>
    <row r="3" spans="1:15" s="19" customFormat="1" ht="18.75" customHeight="1" thickBot="1" x14ac:dyDescent="0.25">
      <c r="A3" s="66"/>
      <c r="B3" s="66"/>
      <c r="C3" s="66"/>
      <c r="D3" s="67"/>
      <c r="E3" s="67"/>
      <c r="F3" s="68"/>
      <c r="G3" s="68"/>
      <c r="H3" s="68"/>
      <c r="I3" s="68"/>
      <c r="J3" s="65"/>
      <c r="K3" s="69"/>
      <c r="L3" s="69"/>
      <c r="M3" s="32" t="s">
        <v>245</v>
      </c>
    </row>
    <row r="4" spans="1:15" s="19" customFormat="1" ht="57" customHeight="1" thickBot="1" x14ac:dyDescent="0.25">
      <c r="A4" s="66"/>
      <c r="B4" s="66"/>
      <c r="C4" s="66"/>
      <c r="D4" s="78" t="s">
        <v>242</v>
      </c>
      <c r="E4" s="80"/>
      <c r="F4" s="90" t="s">
        <v>243</v>
      </c>
      <c r="G4" s="91"/>
      <c r="H4" s="91"/>
      <c r="I4" s="92"/>
      <c r="J4" s="65"/>
      <c r="K4" s="69"/>
      <c r="L4" s="69"/>
      <c r="M4" s="73" t="s">
        <v>248</v>
      </c>
    </row>
    <row r="5" spans="1:15" s="19" customFormat="1" ht="18.75" customHeight="1" thickBot="1" x14ac:dyDescent="0.25">
      <c r="A5" s="66"/>
      <c r="B5" s="66"/>
      <c r="C5" s="66"/>
      <c r="D5" s="68"/>
      <c r="E5" s="68"/>
      <c r="F5" s="70"/>
      <c r="G5" s="71"/>
      <c r="H5" s="71"/>
      <c r="I5" s="71"/>
      <c r="J5" s="65"/>
      <c r="K5" s="69"/>
      <c r="L5" s="69"/>
      <c r="M5" s="74" t="s">
        <v>250</v>
      </c>
    </row>
    <row r="6" spans="1:15" s="19" customFormat="1" ht="18.75" thickBot="1" x14ac:dyDescent="0.25">
      <c r="A6" s="66"/>
      <c r="B6" s="66"/>
      <c r="C6" s="66"/>
      <c r="D6" s="78" t="s">
        <v>244</v>
      </c>
      <c r="E6" s="79"/>
      <c r="F6" s="79"/>
      <c r="G6" s="79"/>
      <c r="H6" s="79"/>
      <c r="I6" s="79"/>
      <c r="J6" s="80"/>
      <c r="K6" s="69"/>
      <c r="L6" s="69"/>
      <c r="M6" s="43" t="s">
        <v>86</v>
      </c>
    </row>
    <row r="7" spans="1:15" s="19" customFormat="1" ht="18.75" customHeight="1" thickBot="1" x14ac:dyDescent="0.25">
      <c r="A7" s="66"/>
      <c r="B7" s="66"/>
      <c r="C7" s="65"/>
      <c r="D7" s="65"/>
      <c r="E7" s="65"/>
      <c r="F7" s="65"/>
      <c r="G7" s="65"/>
      <c r="H7" s="65"/>
      <c r="I7" s="65"/>
      <c r="J7" s="65"/>
      <c r="K7" s="69"/>
      <c r="L7" s="69"/>
      <c r="M7" s="20"/>
    </row>
    <row r="8" spans="1:15" s="19" customFormat="1" ht="28.5" thickBot="1" x14ac:dyDescent="0.25">
      <c r="A8" s="87" t="s">
        <v>247</v>
      </c>
      <c r="B8" s="88"/>
      <c r="C8" s="88"/>
      <c r="D8" s="88"/>
      <c r="E8" s="88"/>
      <c r="F8" s="88"/>
      <c r="G8" s="88"/>
      <c r="H8" s="88"/>
      <c r="I8" s="88"/>
      <c r="J8" s="89"/>
      <c r="K8" s="21"/>
      <c r="L8" s="21"/>
      <c r="M8" s="22"/>
      <c r="N8" s="21"/>
      <c r="O8" s="23"/>
    </row>
    <row r="9" spans="1:15" x14ac:dyDescent="0.2">
      <c r="A9" s="24"/>
      <c r="B9" s="24"/>
      <c r="C9" s="24"/>
      <c r="D9" s="24"/>
      <c r="E9" s="24"/>
      <c r="F9" s="24"/>
      <c r="G9" s="24"/>
      <c r="H9" s="24"/>
    </row>
    <row r="10" spans="1:15" ht="33" customHeight="1" x14ac:dyDescent="0.2">
      <c r="B10" s="34" t="s">
        <v>100</v>
      </c>
      <c r="C10" s="26" t="s">
        <v>3</v>
      </c>
      <c r="D10" s="26" t="s">
        <v>2</v>
      </c>
      <c r="E10" s="26" t="s">
        <v>3</v>
      </c>
      <c r="F10" s="26" t="s">
        <v>2</v>
      </c>
      <c r="G10" s="24"/>
      <c r="H10" s="24"/>
    </row>
    <row r="11" spans="1:15" ht="16.5" customHeight="1" x14ac:dyDescent="0.2">
      <c r="A11" s="24"/>
      <c r="B11" s="27" t="s">
        <v>26</v>
      </c>
      <c r="C11" s="62">
        <v>1.5449999999999999</v>
      </c>
      <c r="D11" s="31" t="s">
        <v>5</v>
      </c>
      <c r="E11" s="24"/>
      <c r="F11" s="24"/>
      <c r="G11" s="24"/>
      <c r="H11" s="24"/>
    </row>
    <row r="12" spans="1:15" x14ac:dyDescent="0.2">
      <c r="A12" s="24"/>
      <c r="B12" s="28" t="s">
        <v>27</v>
      </c>
      <c r="C12" s="62">
        <v>0.37</v>
      </c>
      <c r="D12" s="31" t="s">
        <v>5</v>
      </c>
      <c r="E12" s="24"/>
      <c r="F12" s="24"/>
      <c r="G12" s="24"/>
      <c r="H12" s="72" t="s">
        <v>152</v>
      </c>
    </row>
    <row r="13" spans="1:15" ht="26.25" customHeight="1" x14ac:dyDescent="0.2">
      <c r="A13" s="24"/>
      <c r="B13" s="28" t="s">
        <v>62</v>
      </c>
      <c r="C13" s="62">
        <v>56</v>
      </c>
      <c r="D13" s="31" t="s">
        <v>28</v>
      </c>
      <c r="E13" s="26">
        <f>C13*9.81</f>
        <v>549.36</v>
      </c>
      <c r="F13" s="31" t="s">
        <v>6</v>
      </c>
      <c r="G13" s="24"/>
      <c r="H13" s="24"/>
    </row>
    <row r="14" spans="1:15" ht="26.25" customHeight="1" x14ac:dyDescent="0.2">
      <c r="A14" s="24"/>
      <c r="B14" s="28" t="s">
        <v>63</v>
      </c>
      <c r="C14" s="62">
        <v>56</v>
      </c>
      <c r="D14" s="31" t="s">
        <v>28</v>
      </c>
      <c r="E14" s="26">
        <f>C14*9.81</f>
        <v>549.36</v>
      </c>
      <c r="F14" s="31" t="s">
        <v>6</v>
      </c>
      <c r="G14" s="24"/>
      <c r="H14" s="24"/>
    </row>
    <row r="15" spans="1:15" ht="24.75" customHeight="1" x14ac:dyDescent="0.2">
      <c r="A15" s="24"/>
      <c r="B15" s="28" t="s">
        <v>64</v>
      </c>
      <c r="C15" s="62">
        <v>84</v>
      </c>
      <c r="D15" s="31" t="s">
        <v>28</v>
      </c>
      <c r="E15" s="26">
        <f>C15*9.81</f>
        <v>824.04000000000008</v>
      </c>
      <c r="F15" s="31" t="s">
        <v>6</v>
      </c>
      <c r="G15" s="24"/>
      <c r="H15" s="24"/>
    </row>
    <row r="16" spans="1:15" ht="25.5" customHeight="1" x14ac:dyDescent="0.2">
      <c r="A16" s="24"/>
      <c r="B16" s="28" t="s">
        <v>65</v>
      </c>
      <c r="C16" s="62">
        <v>84</v>
      </c>
      <c r="D16" s="31" t="s">
        <v>28</v>
      </c>
      <c r="E16" s="26">
        <f>C16*9.81</f>
        <v>824.04000000000008</v>
      </c>
      <c r="F16" s="31" t="s">
        <v>6</v>
      </c>
      <c r="G16" s="24"/>
      <c r="H16" s="24"/>
      <c r="L16" s="7"/>
    </row>
    <row r="17" spans="1:8" x14ac:dyDescent="0.2">
      <c r="A17" s="24"/>
      <c r="B17" s="28" t="s">
        <v>38</v>
      </c>
      <c r="C17" s="62">
        <v>0.27</v>
      </c>
      <c r="D17" s="31" t="s">
        <v>5</v>
      </c>
      <c r="E17" s="24"/>
      <c r="F17" s="24"/>
      <c r="G17" s="24"/>
      <c r="H17" s="24"/>
    </row>
    <row r="18" spans="1:8" x14ac:dyDescent="0.2">
      <c r="A18" s="24"/>
      <c r="B18" s="28" t="s">
        <v>39</v>
      </c>
      <c r="C18" s="62">
        <v>0.3</v>
      </c>
      <c r="D18" s="31" t="s">
        <v>5</v>
      </c>
      <c r="E18" s="24"/>
      <c r="F18" s="24"/>
      <c r="G18" s="24"/>
      <c r="H18" s="24"/>
    </row>
    <row r="19" spans="1:8" ht="13.5" thickBot="1" x14ac:dyDescent="0.25">
      <c r="A19" s="24"/>
      <c r="B19" s="25"/>
      <c r="C19" s="24"/>
      <c r="D19" s="24"/>
      <c r="E19" s="24"/>
      <c r="F19" s="24"/>
      <c r="G19" s="24"/>
      <c r="H19" s="24"/>
    </row>
    <row r="20" spans="1:8" ht="36.75" customHeight="1" x14ac:dyDescent="0.2">
      <c r="B20" s="81" t="s">
        <v>147</v>
      </c>
      <c r="C20" s="82"/>
      <c r="D20" s="82"/>
      <c r="E20" s="82"/>
      <c r="F20" s="83"/>
      <c r="G20" s="24"/>
      <c r="H20" s="24"/>
    </row>
    <row r="21" spans="1:8" x14ac:dyDescent="0.2">
      <c r="A21" s="24"/>
      <c r="B21" s="28" t="s">
        <v>155</v>
      </c>
      <c r="C21" s="64">
        <v>120</v>
      </c>
      <c r="D21" s="31" t="s">
        <v>149</v>
      </c>
      <c r="E21" s="26">
        <f>C21/3.6</f>
        <v>33.333333333333336</v>
      </c>
      <c r="F21" s="31" t="s">
        <v>151</v>
      </c>
      <c r="G21" s="24"/>
      <c r="H21" s="24"/>
    </row>
    <row r="22" spans="1:8" x14ac:dyDescent="0.2">
      <c r="A22" s="24"/>
      <c r="B22" s="28" t="s">
        <v>156</v>
      </c>
      <c r="C22" s="64">
        <v>60</v>
      </c>
      <c r="D22" s="31" t="s">
        <v>149</v>
      </c>
      <c r="E22" s="26">
        <f>C22/3.6</f>
        <v>16.666666666666668</v>
      </c>
      <c r="F22" s="31" t="s">
        <v>151</v>
      </c>
      <c r="G22" s="24"/>
      <c r="H22" s="24"/>
    </row>
    <row r="23" spans="1:8" x14ac:dyDescent="0.2">
      <c r="A23" s="24"/>
      <c r="B23" s="28" t="s">
        <v>148</v>
      </c>
      <c r="C23" s="64">
        <v>14</v>
      </c>
      <c r="D23" s="31" t="s">
        <v>5</v>
      </c>
      <c r="E23" s="26"/>
      <c r="F23" s="31"/>
      <c r="G23" s="24"/>
      <c r="H23" s="24"/>
    </row>
    <row r="24" spans="1:8" x14ac:dyDescent="0.2">
      <c r="A24" s="24"/>
      <c r="B24" s="28" t="s">
        <v>153</v>
      </c>
      <c r="C24" s="63">
        <f>E24/9.81</f>
        <v>2.0225555393751113</v>
      </c>
      <c r="D24" s="31" t="s">
        <v>79</v>
      </c>
      <c r="E24" s="26">
        <f>(E21-E22)/C33</f>
        <v>19.841269841269842</v>
      </c>
      <c r="F24" s="31" t="s">
        <v>154</v>
      </c>
      <c r="G24" s="24"/>
      <c r="H24" s="24"/>
    </row>
    <row r="25" spans="1:8" x14ac:dyDescent="0.2">
      <c r="A25" s="24"/>
      <c r="B25" s="28" t="s">
        <v>157</v>
      </c>
      <c r="C25" s="84" t="str">
        <f>IF(C24&gt;'Pedal Char.'!D13, "Increase braking distance!", "Brakes adequate")</f>
        <v>Increase braking distance!</v>
      </c>
      <c r="D25" s="85"/>
      <c r="E25" s="85"/>
      <c r="F25" s="86"/>
      <c r="G25" s="24"/>
      <c r="H25" s="24"/>
    </row>
    <row r="26" spans="1:8" x14ac:dyDescent="0.2">
      <c r="A26" s="24"/>
      <c r="B26" s="28" t="s">
        <v>35</v>
      </c>
      <c r="C26" s="35">
        <f>SUM(C13:C16)</f>
        <v>280</v>
      </c>
      <c r="D26" s="31" t="s">
        <v>28</v>
      </c>
      <c r="E26" s="26">
        <f>C26*9.81</f>
        <v>2746.8</v>
      </c>
      <c r="F26" s="31" t="s">
        <v>6</v>
      </c>
      <c r="G26" s="24"/>
      <c r="H26" s="24"/>
    </row>
    <row r="27" spans="1:8" x14ac:dyDescent="0.2">
      <c r="A27" s="24"/>
      <c r="B27" s="28" t="s">
        <v>29</v>
      </c>
      <c r="C27" s="36">
        <f>(C13+C14)/C26</f>
        <v>0.4</v>
      </c>
      <c r="D27" s="31"/>
      <c r="E27" s="26"/>
      <c r="F27" s="31"/>
      <c r="G27" s="24"/>
      <c r="H27" s="24"/>
    </row>
    <row r="28" spans="1:8" x14ac:dyDescent="0.2">
      <c r="A28" s="24"/>
      <c r="B28" s="28" t="s">
        <v>30</v>
      </c>
      <c r="C28" s="36">
        <f>(C15+C16)/C26</f>
        <v>0.6</v>
      </c>
      <c r="D28" s="31"/>
      <c r="E28" s="26"/>
      <c r="F28" s="31"/>
      <c r="G28" s="24"/>
      <c r="H28" s="24"/>
    </row>
    <row r="29" spans="1:8" x14ac:dyDescent="0.2">
      <c r="A29" s="24"/>
      <c r="B29" s="28" t="s">
        <v>80</v>
      </c>
      <c r="C29" s="37">
        <f>E29/9.81</f>
        <v>108.92954248829774</v>
      </c>
      <c r="D29" s="31" t="s">
        <v>28</v>
      </c>
      <c r="E29" s="26">
        <f>'Rolling or Skidding'!$M$6</f>
        <v>1068.5988118102009</v>
      </c>
      <c r="F29" s="31" t="s">
        <v>6</v>
      </c>
      <c r="G29" s="24"/>
      <c r="H29" s="24"/>
    </row>
    <row r="30" spans="1:8" x14ac:dyDescent="0.2">
      <c r="A30" s="24"/>
      <c r="B30" s="28" t="s">
        <v>81</v>
      </c>
      <c r="C30" s="37">
        <f>E30/9.81</f>
        <v>108.92954248829774</v>
      </c>
      <c r="D30" s="31" t="s">
        <v>28</v>
      </c>
      <c r="E30" s="26">
        <f>'Rolling or Skidding'!$M$15</f>
        <v>1068.5988118102009</v>
      </c>
      <c r="F30" s="31" t="s">
        <v>6</v>
      </c>
      <c r="G30" s="24"/>
      <c r="H30" s="24"/>
    </row>
    <row r="31" spans="1:8" x14ac:dyDescent="0.2">
      <c r="A31" s="24"/>
      <c r="B31" s="28" t="s">
        <v>82</v>
      </c>
      <c r="C31" s="37">
        <f>E31/9.81</f>
        <v>31.070457511702248</v>
      </c>
      <c r="D31" s="31" t="s">
        <v>28</v>
      </c>
      <c r="E31" s="26">
        <f>'Rolling or Skidding'!$M$24</f>
        <v>304.80118818979906</v>
      </c>
      <c r="F31" s="31" t="s">
        <v>6</v>
      </c>
      <c r="G31" s="24"/>
      <c r="H31" s="24"/>
    </row>
    <row r="32" spans="1:8" x14ac:dyDescent="0.2">
      <c r="A32" s="24"/>
      <c r="B32" s="28" t="s">
        <v>83</v>
      </c>
      <c r="C32" s="37">
        <f>E32/9.81</f>
        <v>31.070457511702248</v>
      </c>
      <c r="D32" s="31" t="s">
        <v>28</v>
      </c>
      <c r="E32" s="26">
        <f>'Rolling or Skidding'!$M$33</f>
        <v>304.80118818979906</v>
      </c>
      <c r="F32" s="31" t="s">
        <v>6</v>
      </c>
      <c r="G32" s="24"/>
      <c r="H32" s="24"/>
    </row>
    <row r="33" spans="1:8" x14ac:dyDescent="0.2">
      <c r="A33" s="24"/>
      <c r="B33" s="28" t="s">
        <v>150</v>
      </c>
      <c r="C33" s="38">
        <f>C23/(E21-E22)</f>
        <v>0.84</v>
      </c>
      <c r="D33" s="31" t="s">
        <v>152</v>
      </c>
      <c r="E33" s="26"/>
      <c r="F33" s="31"/>
      <c r="G33" s="24"/>
      <c r="H33" s="24"/>
    </row>
    <row r="34" spans="1:8" x14ac:dyDescent="0.2">
      <c r="A34" s="24"/>
      <c r="B34" s="24"/>
      <c r="C34" s="24"/>
      <c r="D34" s="24"/>
      <c r="E34" s="24"/>
      <c r="F34" s="24"/>
      <c r="G34" s="24"/>
      <c r="H34" s="24"/>
    </row>
    <row r="35" spans="1:8" x14ac:dyDescent="0.2">
      <c r="A35" s="24"/>
      <c r="B35" s="24"/>
      <c r="C35" s="24"/>
      <c r="D35" s="24"/>
      <c r="E35" s="24"/>
      <c r="F35" s="24"/>
      <c r="G35" s="24"/>
      <c r="H35" s="24"/>
    </row>
    <row r="36" spans="1:8" x14ac:dyDescent="0.2">
      <c r="A36" s="24"/>
      <c r="B36" s="24"/>
      <c r="C36" s="24"/>
      <c r="D36" s="24"/>
      <c r="E36" s="24"/>
      <c r="F36" s="24"/>
      <c r="G36" s="24"/>
      <c r="H36" s="24"/>
    </row>
    <row r="37" spans="1:8" x14ac:dyDescent="0.2">
      <c r="A37" s="24"/>
      <c r="B37" s="24"/>
      <c r="C37" s="24"/>
      <c r="D37" s="24"/>
      <c r="E37" s="24"/>
      <c r="F37" s="24"/>
      <c r="G37" s="24"/>
      <c r="H37" s="24"/>
    </row>
    <row r="38" spans="1:8" x14ac:dyDescent="0.2">
      <c r="A38" s="24"/>
      <c r="B38" s="24"/>
      <c r="C38" s="24"/>
      <c r="D38" s="24"/>
      <c r="E38" s="24"/>
      <c r="F38" s="24"/>
      <c r="G38" s="24"/>
      <c r="H38" s="24"/>
    </row>
    <row r="39" spans="1:8" x14ac:dyDescent="0.2">
      <c r="A39" s="24"/>
      <c r="B39" s="24"/>
      <c r="C39" s="24"/>
      <c r="D39" s="24"/>
      <c r="E39" s="24"/>
      <c r="F39" s="24"/>
      <c r="G39" s="24"/>
      <c r="H39" s="24"/>
    </row>
    <row r="40" spans="1:8" x14ac:dyDescent="0.2">
      <c r="A40" s="24"/>
      <c r="B40" s="24"/>
      <c r="C40" s="24"/>
      <c r="D40" s="24"/>
      <c r="E40" s="24"/>
      <c r="F40" s="24"/>
      <c r="G40" s="24"/>
      <c r="H40" s="24"/>
    </row>
    <row r="41" spans="1:8" x14ac:dyDescent="0.2">
      <c r="A41" s="24"/>
      <c r="B41" s="24"/>
      <c r="C41" s="24"/>
      <c r="D41" s="24"/>
      <c r="E41" s="24"/>
      <c r="F41" s="24"/>
      <c r="G41" s="24"/>
      <c r="H41" s="24"/>
    </row>
    <row r="42" spans="1:8" x14ac:dyDescent="0.2">
      <c r="A42" s="24"/>
      <c r="B42" s="24"/>
      <c r="C42" s="24"/>
      <c r="D42" s="24"/>
      <c r="E42" s="24"/>
      <c r="F42" s="24"/>
      <c r="G42" s="24"/>
      <c r="H42" s="24"/>
    </row>
    <row r="43" spans="1:8" x14ac:dyDescent="0.2">
      <c r="A43" s="24"/>
      <c r="B43" s="24"/>
      <c r="C43" s="24"/>
      <c r="D43" s="24"/>
      <c r="E43" s="24"/>
      <c r="F43" s="24"/>
      <c r="G43" s="24"/>
      <c r="H43" s="24"/>
    </row>
    <row r="44" spans="1:8" x14ac:dyDescent="0.2">
      <c r="A44" s="24"/>
      <c r="B44" s="24"/>
      <c r="C44" s="24"/>
      <c r="D44" s="24"/>
      <c r="E44" s="24"/>
      <c r="F44" s="24"/>
      <c r="G44" s="24"/>
      <c r="H44" s="24"/>
    </row>
    <row r="45" spans="1:8" x14ac:dyDescent="0.2">
      <c r="A45" s="24"/>
      <c r="B45" s="24"/>
      <c r="C45" s="24"/>
      <c r="D45" s="24"/>
      <c r="E45" s="24"/>
      <c r="F45" s="24"/>
      <c r="G45" s="24"/>
      <c r="H45" s="24"/>
    </row>
    <row r="46" spans="1:8" x14ac:dyDescent="0.2">
      <c r="A46" s="24"/>
      <c r="B46" s="24"/>
      <c r="C46" s="24"/>
      <c r="D46" s="24"/>
      <c r="E46" s="24"/>
      <c r="F46" s="24"/>
      <c r="G46" s="24"/>
      <c r="H46" s="24"/>
    </row>
    <row r="47" spans="1:8" x14ac:dyDescent="0.2">
      <c r="A47" s="24"/>
      <c r="B47" s="24"/>
      <c r="C47" s="24"/>
      <c r="D47" s="24"/>
      <c r="E47" s="24"/>
      <c r="F47" s="24"/>
      <c r="G47" s="24"/>
      <c r="H47" s="24"/>
    </row>
    <row r="48" spans="1:8" x14ac:dyDescent="0.2">
      <c r="A48" s="24"/>
      <c r="B48" s="24"/>
      <c r="C48" s="24"/>
      <c r="D48" s="24"/>
      <c r="E48" s="24"/>
      <c r="F48" s="24"/>
      <c r="G48" s="24"/>
      <c r="H48" s="24"/>
    </row>
    <row r="49" spans="12:12" x14ac:dyDescent="0.2">
      <c r="L49" s="1" t="s">
        <v>55</v>
      </c>
    </row>
    <row r="50" spans="12:12" x14ac:dyDescent="0.2">
      <c r="L50" s="1" t="s">
        <v>55</v>
      </c>
    </row>
  </sheetData>
  <sheetProtection algorithmName="SHA-512" hashValue="oftmfYkFP1S73e6/ukqHDz0C5NTqoj5MC0VHHceuymHzg1eqbFRtgddB0FJT3qUPWw1C49lpUIv/rxltsH7NKA==" saltValue="MIok0WON5W8V+6xJRODKew==" spinCount="100000" sheet="1" objects="1" scenarios="1" selectLockedCells="1"/>
  <mergeCells count="9">
    <mergeCell ref="K2:L2"/>
    <mergeCell ref="D6:J6"/>
    <mergeCell ref="B20:F20"/>
    <mergeCell ref="C25:F25"/>
    <mergeCell ref="A8:J8"/>
    <mergeCell ref="D2:E2"/>
    <mergeCell ref="D4:E4"/>
    <mergeCell ref="F4:I4"/>
    <mergeCell ref="F2:I2"/>
  </mergeCells>
  <phoneticPr fontId="2" type="noConversion"/>
  <hyperlinks>
    <hyperlink ref="F2" r:id="rId1" xr:uid="{00000000-0004-0000-0000-000000000000}"/>
    <hyperlink ref="F4" r:id="rId2" display="mailto:dpdesign.engineeringsolutions@gmail.com" xr:uid="{00000000-0004-0000-0000-000001000000}"/>
  </hyperlinks>
  <pageMargins left="0.75" right="0.75" top="1" bottom="1" header="0.5" footer="0.5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K44"/>
  <sheetViews>
    <sheetView zoomScaleNormal="100" workbookViewId="0">
      <pane ySplit="1" topLeftCell="A2" activePane="bottomLeft" state="frozen"/>
      <selection pane="bottomLeft" activeCell="B30" sqref="B30"/>
    </sheetView>
  </sheetViews>
  <sheetFormatPr defaultRowHeight="12.75" x14ac:dyDescent="0.2"/>
  <cols>
    <col min="1" max="1" width="4.5703125" style="1" customWidth="1"/>
    <col min="2" max="2" width="46.85546875" style="1" bestFit="1" customWidth="1"/>
    <col min="3" max="3" width="14.42578125" style="1" bestFit="1" customWidth="1"/>
    <col min="4" max="4" width="15.42578125" style="1" bestFit="1" customWidth="1"/>
    <col min="5" max="5" width="11.85546875" style="1" customWidth="1"/>
    <col min="6" max="6" width="80.28515625" style="1" customWidth="1"/>
    <col min="7" max="7" width="9.140625" style="1"/>
    <col min="8" max="8" width="10.85546875" style="1" bestFit="1" customWidth="1"/>
    <col min="9" max="9" width="6" style="1" bestFit="1" customWidth="1"/>
    <col min="10" max="10" width="3" style="1" customWidth="1"/>
    <col min="11" max="11" width="14.42578125" style="1" bestFit="1" customWidth="1"/>
    <col min="12" max="12" width="18" style="1" bestFit="1" customWidth="1"/>
    <col min="13" max="13" width="3.42578125" style="1" customWidth="1"/>
    <col min="14" max="14" width="11.28515625" style="1" bestFit="1" customWidth="1"/>
    <col min="15" max="16384" width="9.140625" style="1"/>
  </cols>
  <sheetData>
    <row r="1" spans="2:6" ht="63.95" customHeight="1" thickBot="1" x14ac:dyDescent="0.25"/>
    <row r="2" spans="2:6" ht="27" customHeight="1" x14ac:dyDescent="0.2">
      <c r="B2" s="39" t="s">
        <v>227</v>
      </c>
      <c r="C2" s="39" t="s">
        <v>1</v>
      </c>
      <c r="D2" s="39" t="s">
        <v>3</v>
      </c>
      <c r="E2" s="39"/>
      <c r="F2" s="40" t="s">
        <v>236</v>
      </c>
    </row>
    <row r="3" spans="2:6" ht="21" customHeight="1" x14ac:dyDescent="0.2">
      <c r="B3" s="27" t="s">
        <v>226</v>
      </c>
      <c r="C3" s="41"/>
      <c r="D3" s="32">
        <v>1.5</v>
      </c>
      <c r="E3" s="31" t="s">
        <v>182</v>
      </c>
      <c r="F3" s="52" t="s">
        <v>232</v>
      </c>
    </row>
    <row r="4" spans="2:6" ht="13.5" thickBot="1" x14ac:dyDescent="0.25"/>
    <row r="5" spans="2:6" ht="28.5" customHeight="1" thickBot="1" x14ac:dyDescent="0.25">
      <c r="B5" s="96" t="s">
        <v>102</v>
      </c>
      <c r="C5" s="97"/>
      <c r="D5" s="97"/>
      <c r="E5" s="97"/>
      <c r="F5" s="98"/>
    </row>
    <row r="6" spans="2:6" x14ac:dyDescent="0.2">
      <c r="B6" s="28" t="s">
        <v>96</v>
      </c>
      <c r="C6" s="41"/>
      <c r="D6" s="32" t="s">
        <v>253</v>
      </c>
      <c r="E6" s="26"/>
    </row>
    <row r="7" spans="2:6" x14ac:dyDescent="0.2">
      <c r="B7" s="28" t="s">
        <v>97</v>
      </c>
      <c r="C7" s="41"/>
      <c r="D7" s="103" t="s">
        <v>255</v>
      </c>
      <c r="E7" s="104" t="s">
        <v>254</v>
      </c>
    </row>
    <row r="8" spans="2:6" x14ac:dyDescent="0.2">
      <c r="B8" s="28" t="s">
        <v>99</v>
      </c>
      <c r="C8" s="41"/>
      <c r="D8" s="32"/>
      <c r="E8" s="31" t="s">
        <v>93</v>
      </c>
      <c r="F8" s="11"/>
    </row>
    <row r="9" spans="2:6" x14ac:dyDescent="0.2">
      <c r="B9" s="28" t="s">
        <v>127</v>
      </c>
      <c r="C9" s="26" t="s">
        <v>98</v>
      </c>
      <c r="D9" s="32" t="s">
        <v>123</v>
      </c>
      <c r="E9" s="26"/>
    </row>
    <row r="10" spans="2:6" x14ac:dyDescent="0.2">
      <c r="B10" s="28" t="s">
        <v>57</v>
      </c>
      <c r="C10" s="26" t="s">
        <v>98</v>
      </c>
      <c r="D10" s="32" t="s">
        <v>94</v>
      </c>
      <c r="E10" s="26"/>
    </row>
    <row r="11" spans="2:6" x14ac:dyDescent="0.2">
      <c r="B11" s="28" t="s">
        <v>92</v>
      </c>
      <c r="C11" s="41"/>
      <c r="D11" s="43">
        <f>'Tyre Char.'!C44</f>
        <v>0.98</v>
      </c>
      <c r="E11" s="26"/>
    </row>
    <row r="12" spans="2:6" ht="13.5" thickBot="1" x14ac:dyDescent="0.25"/>
    <row r="13" spans="2:6" ht="33.75" customHeight="1" x14ac:dyDescent="0.2">
      <c r="B13" s="50" t="s">
        <v>249</v>
      </c>
      <c r="C13" s="26"/>
      <c r="D13" s="30" t="s">
        <v>235</v>
      </c>
      <c r="E13" s="30" t="s">
        <v>211</v>
      </c>
      <c r="F13" s="42"/>
    </row>
    <row r="14" spans="2:6" ht="25.5" x14ac:dyDescent="0.2">
      <c r="B14" s="27" t="s">
        <v>174</v>
      </c>
      <c r="C14" s="30" t="s">
        <v>183</v>
      </c>
      <c r="D14" s="44">
        <v>1.25</v>
      </c>
      <c r="E14" s="47">
        <v>1.25</v>
      </c>
      <c r="F14" s="45" t="s">
        <v>219</v>
      </c>
    </row>
    <row r="15" spans="2:6" x14ac:dyDescent="0.2">
      <c r="B15" s="27" t="s">
        <v>212</v>
      </c>
      <c r="C15" s="30" t="s">
        <v>184</v>
      </c>
      <c r="D15" s="44">
        <v>1</v>
      </c>
      <c r="E15" s="47">
        <v>1</v>
      </c>
      <c r="F15" s="46"/>
    </row>
    <row r="16" spans="2:6" ht="25.5" x14ac:dyDescent="0.2">
      <c r="B16" s="27" t="s">
        <v>210</v>
      </c>
      <c r="C16" s="30" t="s">
        <v>185</v>
      </c>
      <c r="D16" s="44">
        <v>1.23</v>
      </c>
      <c r="E16" s="47">
        <v>1.23</v>
      </c>
      <c r="F16" s="45" t="s">
        <v>218</v>
      </c>
    </row>
    <row r="17" spans="2:11" ht="25.5" x14ac:dyDescent="0.2">
      <c r="B17" s="27" t="s">
        <v>217</v>
      </c>
      <c r="C17" s="30" t="s">
        <v>186</v>
      </c>
      <c r="D17" s="44">
        <v>-0.2</v>
      </c>
      <c r="E17" s="47">
        <v>-0.2</v>
      </c>
      <c r="F17" s="45" t="s">
        <v>220</v>
      </c>
    </row>
    <row r="18" spans="2:11" x14ac:dyDescent="0.2">
      <c r="B18" s="27" t="s">
        <v>213</v>
      </c>
      <c r="C18" s="30" t="s">
        <v>187</v>
      </c>
      <c r="D18" s="44">
        <v>1</v>
      </c>
      <c r="E18" s="47">
        <v>1</v>
      </c>
      <c r="F18" s="45"/>
      <c r="G18" s="5"/>
      <c r="H18" s="5"/>
      <c r="I18" s="5"/>
      <c r="J18" s="5"/>
    </row>
    <row r="19" spans="2:11" ht="25.5" x14ac:dyDescent="0.2">
      <c r="B19" s="27" t="s">
        <v>221</v>
      </c>
      <c r="C19" s="30" t="s">
        <v>188</v>
      </c>
      <c r="D19" s="44">
        <v>-0.8</v>
      </c>
      <c r="E19" s="47">
        <v>-0.8</v>
      </c>
      <c r="F19" s="45" t="s">
        <v>222</v>
      </c>
      <c r="G19" s="5"/>
      <c r="H19" s="5"/>
      <c r="I19" s="5"/>
      <c r="J19" s="5"/>
    </row>
    <row r="20" spans="2:11" x14ac:dyDescent="0.2">
      <c r="B20" s="28"/>
      <c r="C20" s="30" t="s">
        <v>189</v>
      </c>
      <c r="D20" s="44">
        <v>0</v>
      </c>
      <c r="E20" s="47">
        <v>0</v>
      </c>
      <c r="F20" s="45"/>
      <c r="G20" s="5"/>
      <c r="H20" s="5"/>
      <c r="I20" s="5"/>
      <c r="J20" s="5"/>
      <c r="K20" s="5"/>
    </row>
    <row r="21" spans="2:11" x14ac:dyDescent="0.2">
      <c r="B21" s="28"/>
      <c r="C21" s="30" t="s">
        <v>190</v>
      </c>
      <c r="D21" s="44">
        <v>0</v>
      </c>
      <c r="E21" s="47">
        <v>0</v>
      </c>
      <c r="F21" s="45"/>
    </row>
    <row r="22" spans="2:11" x14ac:dyDescent="0.2">
      <c r="B22" s="28"/>
      <c r="C22" s="30" t="s">
        <v>191</v>
      </c>
      <c r="D22" s="44">
        <v>0</v>
      </c>
      <c r="E22" s="47">
        <v>0</v>
      </c>
      <c r="F22" s="45"/>
    </row>
    <row r="23" spans="2:11" x14ac:dyDescent="0.2">
      <c r="B23" s="27" t="s">
        <v>214</v>
      </c>
      <c r="C23" s="30" t="s">
        <v>192</v>
      </c>
      <c r="D23" s="44">
        <v>1</v>
      </c>
      <c r="E23" s="47">
        <v>1</v>
      </c>
      <c r="F23" s="45"/>
    </row>
    <row r="24" spans="2:11" ht="25.5" x14ac:dyDescent="0.2">
      <c r="B24" s="27" t="s">
        <v>223</v>
      </c>
      <c r="C24" s="30" t="s">
        <v>193</v>
      </c>
      <c r="D24" s="44">
        <v>16</v>
      </c>
      <c r="E24" s="47">
        <v>16</v>
      </c>
      <c r="F24" s="45" t="s">
        <v>224</v>
      </c>
    </row>
    <row r="25" spans="2:11" ht="15" x14ac:dyDescent="0.2">
      <c r="B25" s="48" t="s">
        <v>225</v>
      </c>
      <c r="C25" s="30" t="s">
        <v>194</v>
      </c>
      <c r="D25" s="44">
        <v>2</v>
      </c>
      <c r="E25" s="47">
        <v>2</v>
      </c>
      <c r="F25" s="6"/>
    </row>
    <row r="26" spans="2:11" x14ac:dyDescent="0.2">
      <c r="B26" s="28"/>
      <c r="C26" s="30" t="s">
        <v>195</v>
      </c>
      <c r="D26" s="44">
        <v>0</v>
      </c>
      <c r="E26" s="47">
        <v>0</v>
      </c>
      <c r="F26" s="6"/>
    </row>
    <row r="27" spans="2:11" x14ac:dyDescent="0.2">
      <c r="B27" s="27" t="s">
        <v>215</v>
      </c>
      <c r="C27" s="30" t="s">
        <v>201</v>
      </c>
      <c r="D27" s="44">
        <v>1</v>
      </c>
      <c r="E27" s="47">
        <v>1</v>
      </c>
      <c r="F27" s="6"/>
    </row>
    <row r="28" spans="2:11" x14ac:dyDescent="0.2">
      <c r="B28" s="28"/>
      <c r="C28" s="30" t="s">
        <v>196</v>
      </c>
      <c r="D28" s="44">
        <v>0</v>
      </c>
      <c r="E28" s="47">
        <v>0</v>
      </c>
      <c r="F28" s="6"/>
    </row>
    <row r="29" spans="2:11" x14ac:dyDescent="0.2">
      <c r="B29" s="28"/>
      <c r="C29" s="30" t="s">
        <v>197</v>
      </c>
      <c r="D29" s="44">
        <v>0</v>
      </c>
      <c r="E29" s="47">
        <v>0</v>
      </c>
      <c r="F29" s="6"/>
    </row>
    <row r="30" spans="2:11" x14ac:dyDescent="0.2">
      <c r="B30" s="27" t="s">
        <v>216</v>
      </c>
      <c r="C30" s="30" t="s">
        <v>198</v>
      </c>
      <c r="D30" s="44">
        <v>1</v>
      </c>
      <c r="E30" s="47">
        <v>1</v>
      </c>
      <c r="F30" s="6"/>
    </row>
    <row r="31" spans="2:11" x14ac:dyDescent="0.2">
      <c r="B31" s="28"/>
      <c r="C31" s="30" t="s">
        <v>199</v>
      </c>
      <c r="D31" s="44">
        <v>0</v>
      </c>
      <c r="E31" s="47">
        <v>0</v>
      </c>
      <c r="F31" s="6"/>
    </row>
    <row r="32" spans="2:11" x14ac:dyDescent="0.2">
      <c r="B32" s="28"/>
      <c r="C32" s="30" t="s">
        <v>200</v>
      </c>
      <c r="D32" s="44">
        <v>0</v>
      </c>
      <c r="E32" s="47">
        <v>0</v>
      </c>
      <c r="F32" s="6"/>
    </row>
    <row r="34" spans="1:5" ht="36" x14ac:dyDescent="0.2">
      <c r="B34" s="50" t="s">
        <v>233</v>
      </c>
      <c r="C34" s="26"/>
      <c r="D34" s="26"/>
      <c r="E34" s="26"/>
    </row>
    <row r="35" spans="1:5" ht="24.75" customHeight="1" x14ac:dyDescent="0.2">
      <c r="A35" s="3"/>
      <c r="B35" s="29" t="s">
        <v>126</v>
      </c>
      <c r="C35" s="29" t="s">
        <v>94</v>
      </c>
      <c r="D35" s="29" t="s">
        <v>95</v>
      </c>
      <c r="E35" s="29" t="s">
        <v>91</v>
      </c>
    </row>
    <row r="36" spans="1:5" x14ac:dyDescent="0.2">
      <c r="A36" s="3"/>
      <c r="B36" s="49" t="s">
        <v>122</v>
      </c>
      <c r="C36" s="32">
        <v>1</v>
      </c>
      <c r="D36" s="32">
        <v>0.85</v>
      </c>
      <c r="E36" s="32">
        <v>0.55000000000000004</v>
      </c>
    </row>
    <row r="37" spans="1:5" x14ac:dyDescent="0.2">
      <c r="A37" s="3"/>
      <c r="B37" s="49" t="s">
        <v>123</v>
      </c>
      <c r="C37" s="32">
        <v>0.98</v>
      </c>
      <c r="D37" s="32">
        <v>0.8</v>
      </c>
      <c r="E37" s="32">
        <v>0.5</v>
      </c>
    </row>
    <row r="38" spans="1:5" x14ac:dyDescent="0.2">
      <c r="A38" s="3"/>
      <c r="B38" s="49" t="s">
        <v>125</v>
      </c>
      <c r="C38" s="32">
        <v>0.96</v>
      </c>
      <c r="D38" s="32">
        <v>0.75</v>
      </c>
      <c r="E38" s="32">
        <v>0.4</v>
      </c>
    </row>
    <row r="39" spans="1:5" x14ac:dyDescent="0.2">
      <c r="A39" s="3"/>
      <c r="B39" s="49" t="s">
        <v>124</v>
      </c>
      <c r="C39" s="32">
        <v>0.94</v>
      </c>
      <c r="D39" s="32">
        <v>0.7</v>
      </c>
      <c r="E39" s="32">
        <v>0.3</v>
      </c>
    </row>
    <row r="40" spans="1:5" x14ac:dyDescent="0.2">
      <c r="A40" s="3"/>
      <c r="B40" s="49" t="s">
        <v>128</v>
      </c>
      <c r="C40" s="32">
        <v>0.91</v>
      </c>
      <c r="D40" s="32">
        <v>0.91</v>
      </c>
      <c r="E40" s="32">
        <v>0.87</v>
      </c>
    </row>
    <row r="41" spans="1:5" x14ac:dyDescent="0.2">
      <c r="A41" s="3"/>
      <c r="B41" s="49" t="s">
        <v>129</v>
      </c>
      <c r="C41" s="32">
        <v>0.87</v>
      </c>
      <c r="D41" s="32">
        <v>0.89</v>
      </c>
      <c r="E41" s="32">
        <v>0.89</v>
      </c>
    </row>
    <row r="42" spans="1:5" x14ac:dyDescent="0.2">
      <c r="A42" s="3"/>
      <c r="C42" s="35">
        <f>VLOOKUP('Tyre Char.'!D9,B35:E41,2,FALSE)</f>
        <v>0.98</v>
      </c>
      <c r="D42" s="35">
        <f>VLOOKUP('Tyre Char.'!D9,B35:E41,3,FALSE)</f>
        <v>0.8</v>
      </c>
      <c r="E42" s="35">
        <f>VLOOKUP('Tyre Char.'!D9,B35:E41,4,FALSE)</f>
        <v>0.5</v>
      </c>
    </row>
    <row r="43" spans="1:5" ht="13.5" thickBot="1" x14ac:dyDescent="0.25">
      <c r="C43" s="24"/>
      <c r="D43" s="24"/>
      <c r="E43" s="24"/>
    </row>
    <row r="44" spans="1:5" ht="13.5" thickBot="1" x14ac:dyDescent="0.25">
      <c r="B44" s="13" t="s">
        <v>234</v>
      </c>
      <c r="C44" s="99">
        <f>HLOOKUP('Tyre Char.'!D10,B35:E42,8,FALSE)</f>
        <v>0.98</v>
      </c>
      <c r="D44" s="100"/>
      <c r="E44" s="101"/>
    </row>
  </sheetData>
  <mergeCells count="2">
    <mergeCell ref="B5:F5"/>
    <mergeCell ref="C44:E44"/>
  </mergeCells>
  <phoneticPr fontId="2" type="noConversion"/>
  <conditionalFormatting sqref="F14">
    <cfRule type="cellIs" priority="1" stopIfTrue="1" operator="between">
      <formula>1</formula>
      <formula>4</formula>
    </cfRule>
  </conditionalFormatting>
  <dataValidations count="2">
    <dataValidation type="list" allowBlank="1" showInputMessage="1" showErrorMessage="1" sqref="D9" xr:uid="{00000000-0002-0000-0100-000000000000}">
      <formula1>typecompound</formula1>
    </dataValidation>
    <dataValidation type="list" allowBlank="1" showInputMessage="1" showErrorMessage="1" sqref="D10" xr:uid="{00000000-0002-0000-0100-000001000000}">
      <formula1>roadcondition</formula1>
    </dataValidation>
  </dataValidations>
  <hyperlinks>
    <hyperlink ref="E7" r:id="rId1" xr:uid="{D0FD850D-66E6-42D6-A8EA-C18DAD722A8D}"/>
  </hyperlink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B1:G31"/>
  <sheetViews>
    <sheetView zoomScaleNormal="100" workbookViewId="0">
      <pane ySplit="1" topLeftCell="A2" activePane="bottomLeft" state="frozen"/>
      <selection pane="bottomLeft" activeCell="D15" sqref="D15"/>
    </sheetView>
  </sheetViews>
  <sheetFormatPr defaultRowHeight="12.75" x14ac:dyDescent="0.2"/>
  <cols>
    <col min="1" max="1" width="4.28515625" style="1" customWidth="1"/>
    <col min="2" max="2" width="48.28515625" style="1" bestFit="1" customWidth="1"/>
    <col min="3" max="3" width="11.28515625" style="1" bestFit="1" customWidth="1"/>
    <col min="4" max="4" width="12.28515625" style="1" bestFit="1" customWidth="1"/>
    <col min="5" max="5" width="7.85546875" style="1" customWidth="1"/>
    <col min="6" max="6" width="9.140625" style="1"/>
    <col min="7" max="7" width="38.42578125" style="1" bestFit="1" customWidth="1"/>
    <col min="8" max="16384" width="9.140625" style="1"/>
  </cols>
  <sheetData>
    <row r="1" spans="2:5" ht="63.95" customHeight="1" x14ac:dyDescent="0.2"/>
    <row r="2" spans="2:5" ht="23.25" customHeight="1" x14ac:dyDescent="0.2">
      <c r="B2" s="50" t="s">
        <v>101</v>
      </c>
      <c r="C2" s="50" t="s">
        <v>1</v>
      </c>
      <c r="D2" s="50" t="s">
        <v>3</v>
      </c>
      <c r="E2" s="50" t="s">
        <v>2</v>
      </c>
    </row>
    <row r="3" spans="2:5" x14ac:dyDescent="0.2">
      <c r="B3" s="28" t="s">
        <v>15</v>
      </c>
      <c r="C3" s="26"/>
      <c r="D3" s="62">
        <v>3.1800000000000002E-2</v>
      </c>
      <c r="E3" s="11" t="s">
        <v>5</v>
      </c>
    </row>
    <row r="4" spans="2:5" x14ac:dyDescent="0.2">
      <c r="B4" s="28" t="s">
        <v>16</v>
      </c>
      <c r="C4" s="26"/>
      <c r="D4" s="62">
        <v>0</v>
      </c>
      <c r="E4" s="11" t="s">
        <v>5</v>
      </c>
    </row>
    <row r="5" spans="2:5" x14ac:dyDescent="0.2">
      <c r="B5" s="28" t="s">
        <v>17</v>
      </c>
      <c r="C5" s="26"/>
      <c r="D5" s="62"/>
      <c r="E5" s="11" t="s">
        <v>5</v>
      </c>
    </row>
    <row r="6" spans="2:5" x14ac:dyDescent="0.2">
      <c r="B6" s="28"/>
      <c r="C6" s="26"/>
      <c r="D6" s="62"/>
    </row>
    <row r="7" spans="2:5" x14ac:dyDescent="0.2">
      <c r="B7" s="28" t="s">
        <v>22</v>
      </c>
      <c r="C7" s="26" t="s">
        <v>4</v>
      </c>
      <c r="D7" s="62">
        <v>0.19</v>
      </c>
      <c r="E7" s="11" t="s">
        <v>5</v>
      </c>
    </row>
    <row r="8" spans="2:5" x14ac:dyDescent="0.2">
      <c r="B8" s="28" t="s">
        <v>23</v>
      </c>
      <c r="C8" s="26" t="s">
        <v>103</v>
      </c>
      <c r="D8" s="62">
        <v>4.9000000000000002E-2</v>
      </c>
      <c r="E8" s="11" t="s">
        <v>5</v>
      </c>
    </row>
    <row r="9" spans="2:5" x14ac:dyDescent="0.2">
      <c r="B9" s="28" t="s">
        <v>24</v>
      </c>
      <c r="C9" s="26" t="s">
        <v>79</v>
      </c>
      <c r="D9" s="62"/>
      <c r="E9" s="11" t="s">
        <v>5</v>
      </c>
    </row>
    <row r="10" spans="2:5" x14ac:dyDescent="0.2">
      <c r="B10" s="28"/>
      <c r="C10" s="26"/>
      <c r="D10" s="62"/>
    </row>
    <row r="11" spans="2:5" x14ac:dyDescent="0.2">
      <c r="B11" s="28" t="s">
        <v>18</v>
      </c>
      <c r="C11" s="26"/>
      <c r="D11" s="62">
        <v>0.3</v>
      </c>
      <c r="E11" s="11" t="s">
        <v>237</v>
      </c>
    </row>
    <row r="12" spans="2:5" x14ac:dyDescent="0.2">
      <c r="B12" s="28"/>
      <c r="C12" s="26"/>
      <c r="D12" s="62"/>
    </row>
    <row r="13" spans="2:5" x14ac:dyDescent="0.2">
      <c r="B13" s="28" t="s">
        <v>12</v>
      </c>
      <c r="C13" s="26"/>
      <c r="D13" s="62">
        <v>1.9050000000000001E-2</v>
      </c>
      <c r="E13" s="11" t="s">
        <v>5</v>
      </c>
    </row>
    <row r="14" spans="2:5" x14ac:dyDescent="0.2">
      <c r="B14" s="28"/>
      <c r="C14" s="26"/>
      <c r="D14" s="62"/>
    </row>
    <row r="15" spans="2:5" x14ac:dyDescent="0.2">
      <c r="B15" s="28" t="s">
        <v>14</v>
      </c>
      <c r="C15" s="26"/>
      <c r="D15" s="62">
        <v>0.25</v>
      </c>
      <c r="E15" s="11" t="s">
        <v>5</v>
      </c>
    </row>
    <row r="18" spans="2:7" x14ac:dyDescent="0.2">
      <c r="B18" s="4"/>
    </row>
    <row r="19" spans="2:7" x14ac:dyDescent="0.2">
      <c r="B19" s="28" t="s">
        <v>143</v>
      </c>
      <c r="C19" s="26"/>
      <c r="D19" s="37">
        <f>D31/D15</f>
        <v>440.04938185876375</v>
      </c>
      <c r="E19" s="1" t="s">
        <v>6</v>
      </c>
    </row>
    <row r="20" spans="2:7" x14ac:dyDescent="0.2">
      <c r="B20" s="28"/>
      <c r="C20" s="26"/>
      <c r="D20" s="37"/>
    </row>
    <row r="21" spans="2:7" x14ac:dyDescent="0.2">
      <c r="B21" s="28" t="s">
        <v>171</v>
      </c>
      <c r="C21" s="26"/>
      <c r="D21" s="37">
        <f>2*PI()*((D3^2/4)+(D4^2/4)+(D5^2/4))</f>
        <v>1.5884520775080713E-3</v>
      </c>
      <c r="E21" s="1" t="s">
        <v>8</v>
      </c>
    </row>
    <row r="22" spans="2:7" x14ac:dyDescent="0.2">
      <c r="B22" s="28"/>
      <c r="C22" s="26"/>
      <c r="D22" s="37"/>
    </row>
    <row r="23" spans="2:7" x14ac:dyDescent="0.2">
      <c r="B23" s="28" t="s">
        <v>7</v>
      </c>
      <c r="C23" s="26"/>
      <c r="D23" s="37">
        <f>(D7-D8)/2-D9</f>
        <v>7.0500000000000007E-2</v>
      </c>
      <c r="E23" s="1" t="s">
        <v>5</v>
      </c>
    </row>
    <row r="24" spans="2:7" x14ac:dyDescent="0.2">
      <c r="B24" s="28"/>
      <c r="C24" s="26"/>
      <c r="D24" s="37"/>
    </row>
    <row r="25" spans="2:7" x14ac:dyDescent="0.2">
      <c r="B25" s="28" t="s">
        <v>25</v>
      </c>
      <c r="C25" s="26"/>
      <c r="D25" s="37">
        <f>'Pedal Char.'!E9*'Pedal Char.'!D40*'Pedal Char.'!D42</f>
        <v>933.33333333333337</v>
      </c>
      <c r="E25" s="1" t="s">
        <v>6</v>
      </c>
      <c r="F25" s="51">
        <f>D25/9.81*2.2</f>
        <v>209.31022765885152</v>
      </c>
      <c r="G25" s="51" t="s">
        <v>58</v>
      </c>
    </row>
    <row r="26" spans="2:7" x14ac:dyDescent="0.2">
      <c r="B26" s="28" t="s">
        <v>13</v>
      </c>
      <c r="C26" s="26"/>
      <c r="D26" s="37">
        <f>PI()*D13^2/4</f>
        <v>2.8502295699234248E-4</v>
      </c>
      <c r="E26" s="1" t="s">
        <v>8</v>
      </c>
      <c r="F26" s="51">
        <f>D26*39.37^2</f>
        <v>0.44178469976696411</v>
      </c>
      <c r="G26" s="51" t="s">
        <v>59</v>
      </c>
    </row>
    <row r="27" spans="2:7" x14ac:dyDescent="0.2">
      <c r="B27" s="28" t="s">
        <v>10</v>
      </c>
      <c r="C27" s="26"/>
      <c r="D27" s="37">
        <f>D25/D26</f>
        <v>3274590.0301581975</v>
      </c>
      <c r="E27" s="1" t="s">
        <v>11</v>
      </c>
      <c r="F27" s="51">
        <f>F25/F26</f>
        <v>473.78333330525038</v>
      </c>
      <c r="G27" s="51" t="s">
        <v>93</v>
      </c>
    </row>
    <row r="28" spans="2:7" x14ac:dyDescent="0.2">
      <c r="B28" s="28"/>
      <c r="C28" s="26"/>
      <c r="D28" s="37"/>
    </row>
    <row r="29" spans="2:7" x14ac:dyDescent="0.2">
      <c r="B29" s="28" t="s">
        <v>21</v>
      </c>
      <c r="C29" s="26"/>
      <c r="D29" s="37">
        <f>D27*D21</f>
        <v>5201.5293363920064</v>
      </c>
      <c r="E29" s="1" t="s">
        <v>6</v>
      </c>
    </row>
    <row r="30" spans="2:7" x14ac:dyDescent="0.2">
      <c r="B30" s="28" t="s">
        <v>20</v>
      </c>
      <c r="C30" s="26"/>
      <c r="D30" s="37">
        <f>D29*D11</f>
        <v>1560.4588009176018</v>
      </c>
      <c r="E30" s="1" t="s">
        <v>6</v>
      </c>
    </row>
    <row r="31" spans="2:7" x14ac:dyDescent="0.2">
      <c r="B31" s="28" t="s">
        <v>0</v>
      </c>
      <c r="C31" s="26"/>
      <c r="D31" s="37">
        <f>D30*D23</f>
        <v>110.01234546469094</v>
      </c>
      <c r="E31" s="1" t="s">
        <v>9</v>
      </c>
    </row>
  </sheetData>
  <sheetProtection algorithmName="SHA-512" hashValue="RhrB7940YLum8e6Pc6M9uSm8OO0ftznEbfnEqAWArT7IxhpA6H6W9zDMDzkNJ5p5AztI8m0r9ObrqyocpshvGQ==" saltValue="M6SLzpdHiYCewH9imvXfng==" spinCount="100000" sheet="1" objects="1" scenarios="1" selectLockedCells="1"/>
  <phoneticPr fontId="2" type="noConversion"/>
  <pageMargins left="0.75" right="0.75" top="1" bottom="1" header="0.5" footer="0.5"/>
  <pageSetup paperSize="9" orientation="landscape" horizontalDpi="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pageSetUpPr fitToPage="1"/>
  </sheetPr>
  <dimension ref="B1:G31"/>
  <sheetViews>
    <sheetView zoomScaleNormal="100" workbookViewId="0">
      <pane ySplit="1" topLeftCell="A2" activePane="bottomLeft" state="frozen"/>
      <selection pane="bottomLeft" activeCell="D13" sqref="D13"/>
    </sheetView>
  </sheetViews>
  <sheetFormatPr defaultRowHeight="12.75" x14ac:dyDescent="0.2"/>
  <cols>
    <col min="1" max="1" width="4.42578125" style="1" customWidth="1"/>
    <col min="2" max="2" width="48.28515625" style="1" bestFit="1" customWidth="1"/>
    <col min="3" max="3" width="19" style="1" customWidth="1"/>
    <col min="4" max="4" width="12" style="1" bestFit="1" customWidth="1"/>
    <col min="5" max="5" width="7.85546875" style="1" customWidth="1"/>
    <col min="6" max="6" width="9.140625" style="1"/>
    <col min="7" max="7" width="38.42578125" style="1" bestFit="1" customWidth="1"/>
    <col min="8" max="16384" width="9.140625" style="1"/>
  </cols>
  <sheetData>
    <row r="1" spans="2:5" ht="63.95" customHeight="1" x14ac:dyDescent="0.2"/>
    <row r="2" spans="2:5" ht="36" x14ac:dyDescent="0.2">
      <c r="B2" s="50" t="s">
        <v>104</v>
      </c>
      <c r="C2" s="50" t="s">
        <v>1</v>
      </c>
      <c r="D2" s="50" t="s">
        <v>3</v>
      </c>
      <c r="E2" s="50" t="s">
        <v>2</v>
      </c>
    </row>
    <row r="3" spans="2:5" x14ac:dyDescent="0.2">
      <c r="B3" s="28" t="s">
        <v>15</v>
      </c>
      <c r="C3" s="26"/>
      <c r="D3" s="62">
        <v>3.1800000000000002E-2</v>
      </c>
      <c r="E3" s="11" t="s">
        <v>5</v>
      </c>
    </row>
    <row r="4" spans="2:5" x14ac:dyDescent="0.2">
      <c r="B4" s="28" t="s">
        <v>16</v>
      </c>
      <c r="C4" s="26"/>
      <c r="D4" s="62"/>
      <c r="E4" s="11" t="s">
        <v>5</v>
      </c>
    </row>
    <row r="5" spans="2:5" x14ac:dyDescent="0.2">
      <c r="B5" s="28" t="s">
        <v>17</v>
      </c>
      <c r="C5" s="26"/>
      <c r="D5" s="62"/>
      <c r="E5" s="11" t="s">
        <v>5</v>
      </c>
    </row>
    <row r="6" spans="2:5" x14ac:dyDescent="0.2">
      <c r="B6" s="28"/>
      <c r="C6" s="26"/>
      <c r="D6" s="62"/>
    </row>
    <row r="7" spans="2:5" x14ac:dyDescent="0.2">
      <c r="B7" s="28" t="s">
        <v>22</v>
      </c>
      <c r="C7" s="26" t="s">
        <v>4</v>
      </c>
      <c r="D7" s="62">
        <v>0.19</v>
      </c>
      <c r="E7" s="11" t="s">
        <v>5</v>
      </c>
    </row>
    <row r="8" spans="2:5" x14ac:dyDescent="0.2">
      <c r="B8" s="28" t="s">
        <v>23</v>
      </c>
      <c r="C8" s="26" t="s">
        <v>103</v>
      </c>
      <c r="D8" s="62">
        <v>4.9000000000000002E-2</v>
      </c>
      <c r="E8" s="11" t="s">
        <v>5</v>
      </c>
    </row>
    <row r="9" spans="2:5" x14ac:dyDescent="0.2">
      <c r="B9" s="28" t="s">
        <v>24</v>
      </c>
      <c r="C9" s="26" t="s">
        <v>79</v>
      </c>
      <c r="D9" s="62">
        <v>0</v>
      </c>
      <c r="E9" s="11" t="s">
        <v>5</v>
      </c>
    </row>
    <row r="10" spans="2:5" x14ac:dyDescent="0.2">
      <c r="B10" s="28"/>
      <c r="C10" s="26"/>
      <c r="D10" s="62"/>
    </row>
    <row r="11" spans="2:5" x14ac:dyDescent="0.2">
      <c r="B11" s="28" t="s">
        <v>18</v>
      </c>
      <c r="C11" s="26"/>
      <c r="D11" s="62">
        <v>0.3</v>
      </c>
      <c r="E11" s="11" t="s">
        <v>237</v>
      </c>
    </row>
    <row r="12" spans="2:5" x14ac:dyDescent="0.2">
      <c r="B12" s="28"/>
      <c r="C12" s="26"/>
      <c r="D12" s="62"/>
    </row>
    <row r="13" spans="2:5" x14ac:dyDescent="0.2">
      <c r="B13" s="28" t="s">
        <v>12</v>
      </c>
      <c r="C13" s="26"/>
      <c r="D13" s="62">
        <v>1.9050000000000001E-2</v>
      </c>
      <c r="E13" s="11" t="s">
        <v>5</v>
      </c>
    </row>
    <row r="14" spans="2:5" x14ac:dyDescent="0.2">
      <c r="B14" s="28"/>
      <c r="C14" s="26"/>
      <c r="D14" s="62"/>
    </row>
    <row r="15" spans="2:5" x14ac:dyDescent="0.2">
      <c r="B15" s="28" t="s">
        <v>14</v>
      </c>
      <c r="C15" s="26"/>
      <c r="D15" s="62">
        <v>0.25</v>
      </c>
      <c r="E15" s="11" t="s">
        <v>5</v>
      </c>
    </row>
    <row r="16" spans="2:5" x14ac:dyDescent="0.2">
      <c r="B16" s="28"/>
      <c r="C16" s="26"/>
      <c r="D16" s="62"/>
    </row>
    <row r="18" spans="2:7" x14ac:dyDescent="0.2">
      <c r="B18" s="4"/>
    </row>
    <row r="19" spans="2:7" x14ac:dyDescent="0.2">
      <c r="B19" s="28" t="s">
        <v>60</v>
      </c>
      <c r="C19" s="26"/>
      <c r="D19" s="37">
        <f>D31/D15</f>
        <v>440.04938185876375</v>
      </c>
      <c r="E19" s="1" t="s">
        <v>6</v>
      </c>
    </row>
    <row r="20" spans="2:7" x14ac:dyDescent="0.2">
      <c r="B20" s="28"/>
      <c r="C20" s="26"/>
      <c r="D20" s="37"/>
    </row>
    <row r="21" spans="2:7" x14ac:dyDescent="0.2">
      <c r="B21" s="28" t="s">
        <v>171</v>
      </c>
      <c r="C21" s="26"/>
      <c r="D21" s="37">
        <f>2*PI()*((D3^2/4)+(D4^2/4)+(D5^2/4))</f>
        <v>1.5884520775080713E-3</v>
      </c>
      <c r="E21" s="1" t="s">
        <v>8</v>
      </c>
    </row>
    <row r="22" spans="2:7" x14ac:dyDescent="0.2">
      <c r="B22" s="28"/>
      <c r="C22" s="26"/>
      <c r="D22" s="37"/>
    </row>
    <row r="23" spans="2:7" x14ac:dyDescent="0.2">
      <c r="B23" s="28" t="s">
        <v>7</v>
      </c>
      <c r="C23" s="26"/>
      <c r="D23" s="37">
        <f>(D7-D8)/2-D9</f>
        <v>7.0500000000000007E-2</v>
      </c>
      <c r="E23" s="1" t="s">
        <v>5</v>
      </c>
    </row>
    <row r="24" spans="2:7" x14ac:dyDescent="0.2">
      <c r="B24" s="28"/>
      <c r="C24" s="26"/>
      <c r="D24" s="37"/>
    </row>
    <row r="25" spans="2:7" x14ac:dyDescent="0.2">
      <c r="B25" s="28" t="s">
        <v>25</v>
      </c>
      <c r="C25" s="26"/>
      <c r="D25" s="37">
        <f>'Pedal Char.'!E9*'Pedal Char.'!D40*'Pedal Char.'!D43</f>
        <v>933.33333333333337</v>
      </c>
      <c r="E25" s="1" t="s">
        <v>6</v>
      </c>
      <c r="F25" s="51">
        <f>D25/9.81*2.2</f>
        <v>209.31022765885152</v>
      </c>
      <c r="G25" s="51" t="s">
        <v>58</v>
      </c>
    </row>
    <row r="26" spans="2:7" x14ac:dyDescent="0.2">
      <c r="B26" s="28" t="s">
        <v>13</v>
      </c>
      <c r="C26" s="26"/>
      <c r="D26" s="37">
        <f>PI()*D13^2/4</f>
        <v>2.8502295699234248E-4</v>
      </c>
      <c r="E26" s="1" t="s">
        <v>8</v>
      </c>
      <c r="F26" s="51">
        <f>D26*39.37^2</f>
        <v>0.44178469976696411</v>
      </c>
      <c r="G26" s="51" t="s">
        <v>59</v>
      </c>
    </row>
    <row r="27" spans="2:7" x14ac:dyDescent="0.2">
      <c r="B27" s="28" t="s">
        <v>10</v>
      </c>
      <c r="C27" s="26"/>
      <c r="D27" s="37">
        <f>D25/D26</f>
        <v>3274590.0301581975</v>
      </c>
      <c r="E27" s="1" t="s">
        <v>11</v>
      </c>
      <c r="F27" s="51">
        <f>F25/F26</f>
        <v>473.78333330525038</v>
      </c>
      <c r="G27" s="51" t="s">
        <v>93</v>
      </c>
    </row>
    <row r="28" spans="2:7" x14ac:dyDescent="0.2">
      <c r="B28" s="28"/>
      <c r="C28" s="26"/>
      <c r="D28" s="37"/>
    </row>
    <row r="29" spans="2:7" x14ac:dyDescent="0.2">
      <c r="B29" s="28" t="s">
        <v>21</v>
      </c>
      <c r="C29" s="26"/>
      <c r="D29" s="37">
        <f>D27*D21</f>
        <v>5201.5293363920064</v>
      </c>
      <c r="E29" s="1" t="s">
        <v>6</v>
      </c>
    </row>
    <row r="30" spans="2:7" x14ac:dyDescent="0.2">
      <c r="B30" s="28" t="s">
        <v>20</v>
      </c>
      <c r="C30" s="26"/>
      <c r="D30" s="37">
        <f>D29*D11</f>
        <v>1560.4588009176018</v>
      </c>
      <c r="E30" s="1" t="s">
        <v>6</v>
      </c>
    </row>
    <row r="31" spans="2:7" x14ac:dyDescent="0.2">
      <c r="B31" s="28" t="s">
        <v>0</v>
      </c>
      <c r="C31" s="26"/>
      <c r="D31" s="37">
        <f>D30*D23</f>
        <v>110.01234546469094</v>
      </c>
      <c r="E31" s="1" t="s">
        <v>9</v>
      </c>
    </row>
  </sheetData>
  <sheetProtection algorithmName="SHA-512" hashValue="E4xjGAlclQw6rdh/1XkDM0Xcp68UkddInIxJqrVcZaAGRU8Sx4zz3kK/56Q2fuDLAAIAczlPUyHBpYXriavgMw==" saltValue="U4cgfR1y481tCSEOSAAdnw==" spinCount="100000" sheet="1" objects="1" scenarios="1" selectLockedCells="1"/>
  <phoneticPr fontId="2" type="noConversion"/>
  <pageMargins left="0.75" right="0.75" top="1" bottom="1" header="0.5" footer="0.5"/>
  <pageSetup paperSize="9" orientation="landscape" horizontalDpi="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pageSetUpPr fitToPage="1"/>
  </sheetPr>
  <dimension ref="A1:H43"/>
  <sheetViews>
    <sheetView zoomScaleNormal="100" workbookViewId="0">
      <pane ySplit="1" topLeftCell="A2" activePane="bottomLeft" state="frozen"/>
      <selection pane="bottomLeft" activeCell="D11" sqref="D3:E11"/>
    </sheetView>
  </sheetViews>
  <sheetFormatPr defaultRowHeight="12.75" x14ac:dyDescent="0.2"/>
  <cols>
    <col min="1" max="1" width="5.42578125" style="1" customWidth="1"/>
    <col min="2" max="2" width="61.140625" style="1" customWidth="1"/>
    <col min="3" max="3" width="7.28515625" style="1" bestFit="1" customWidth="1"/>
    <col min="4" max="4" width="18.28515625" style="1" customWidth="1"/>
    <col min="5" max="5" width="7.28515625" style="1" customWidth="1"/>
    <col min="6" max="6" width="12.85546875" style="1" customWidth="1"/>
    <col min="7" max="7" width="13.7109375" style="1" customWidth="1"/>
    <col min="8" max="8" width="3.5703125" style="1" bestFit="1" customWidth="1"/>
    <col min="9" max="16384" width="9.140625" style="1"/>
  </cols>
  <sheetData>
    <row r="1" spans="2:8" ht="63.95" customHeight="1" x14ac:dyDescent="0.2"/>
    <row r="2" spans="2:8" ht="18" x14ac:dyDescent="0.2">
      <c r="B2" s="50" t="s">
        <v>105</v>
      </c>
      <c r="C2" s="26" t="s">
        <v>1</v>
      </c>
      <c r="D2" s="26" t="s">
        <v>3</v>
      </c>
      <c r="E2" s="26"/>
      <c r="F2" s="26" t="s">
        <v>2</v>
      </c>
    </row>
    <row r="3" spans="2:8" x14ac:dyDescent="0.2">
      <c r="B3" s="41" t="s">
        <v>131</v>
      </c>
      <c r="C3" s="60" t="s">
        <v>108</v>
      </c>
      <c r="D3" s="75">
        <v>0.21</v>
      </c>
      <c r="E3" s="19"/>
      <c r="F3" s="31" t="s">
        <v>5</v>
      </c>
    </row>
    <row r="4" spans="2:8" x14ac:dyDescent="0.2">
      <c r="B4" s="41" t="s">
        <v>132</v>
      </c>
      <c r="C4" s="41" t="s">
        <v>109</v>
      </c>
      <c r="D4" s="75">
        <v>4.4999999999999998E-2</v>
      </c>
      <c r="E4" s="19"/>
      <c r="F4" s="31" t="s">
        <v>5</v>
      </c>
    </row>
    <row r="5" spans="2:8" x14ac:dyDescent="0.2">
      <c r="B5" s="41" t="s">
        <v>164</v>
      </c>
      <c r="C5" s="41"/>
      <c r="D5" s="75">
        <v>6.5000000000000002E-2</v>
      </c>
      <c r="E5" s="19"/>
      <c r="F5" s="31" t="s">
        <v>5</v>
      </c>
    </row>
    <row r="6" spans="2:8" x14ac:dyDescent="0.2">
      <c r="B6" s="41" t="s">
        <v>165</v>
      </c>
      <c r="C6" s="41"/>
      <c r="D6" s="75">
        <v>1</v>
      </c>
      <c r="E6" s="19"/>
      <c r="F6" s="31" t="s">
        <v>166</v>
      </c>
    </row>
    <row r="7" spans="2:8" x14ac:dyDescent="0.2">
      <c r="B7" s="41" t="s">
        <v>168</v>
      </c>
      <c r="C7" s="41" t="s">
        <v>110</v>
      </c>
      <c r="D7" s="19"/>
      <c r="E7" s="76">
        <v>12</v>
      </c>
      <c r="F7" s="31" t="s">
        <v>167</v>
      </c>
    </row>
    <row r="8" spans="2:8" x14ac:dyDescent="0.2">
      <c r="B8" s="41" t="s">
        <v>169</v>
      </c>
      <c r="C8" s="41" t="s">
        <v>111</v>
      </c>
      <c r="D8" s="19"/>
      <c r="E8" s="76">
        <v>6</v>
      </c>
      <c r="F8" s="31" t="s">
        <v>167</v>
      </c>
    </row>
    <row r="9" spans="2:8" x14ac:dyDescent="0.2">
      <c r="B9" s="41" t="s">
        <v>144</v>
      </c>
      <c r="D9" s="19"/>
      <c r="E9" s="76">
        <v>400</v>
      </c>
      <c r="F9" s="31" t="s">
        <v>6</v>
      </c>
      <c r="G9" s="37">
        <f>E9/9.81*2.2</f>
        <v>89.70438328236493</v>
      </c>
      <c r="H9" s="3" t="s">
        <v>58</v>
      </c>
    </row>
    <row r="10" spans="2:8" x14ac:dyDescent="0.2">
      <c r="B10" s="41" t="s">
        <v>145</v>
      </c>
      <c r="D10" s="62">
        <v>1</v>
      </c>
      <c r="E10" s="19"/>
    </row>
    <row r="11" spans="2:8" x14ac:dyDescent="0.2">
      <c r="B11" s="41" t="s">
        <v>146</v>
      </c>
      <c r="D11" s="62">
        <v>1</v>
      </c>
      <c r="E11" s="19"/>
    </row>
    <row r="12" spans="2:8" x14ac:dyDescent="0.2">
      <c r="B12" s="41" t="s">
        <v>84</v>
      </c>
      <c r="D12" s="43">
        <f>'Front Braking'!D19/('Front Braking'!D19+'Rear Braking'!D19)</f>
        <v>0.5</v>
      </c>
    </row>
    <row r="13" spans="2:8" x14ac:dyDescent="0.2">
      <c r="B13" s="41" t="s">
        <v>142</v>
      </c>
      <c r="D13" s="43">
        <f>'Rolling or Skidding'!E46</f>
        <v>0.58419795224874338</v>
      </c>
      <c r="F13" s="61" t="s">
        <v>79</v>
      </c>
    </row>
    <row r="14" spans="2:8" x14ac:dyDescent="0.2">
      <c r="B14" s="41" t="s">
        <v>162</v>
      </c>
      <c r="D14" s="43">
        <f>AVERAGE('Rolling or Skidding'!E13,'Rolling or Skidding'!E22)</f>
        <v>873.78963427795588</v>
      </c>
      <c r="F14" s="12" t="s">
        <v>6</v>
      </c>
      <c r="G14" s="43" t="str">
        <f>'Rolling or Skidding'!M10</f>
        <v>Rolling</v>
      </c>
    </row>
    <row r="15" spans="2:8" x14ac:dyDescent="0.2">
      <c r="B15" s="41" t="s">
        <v>163</v>
      </c>
      <c r="D15" s="43">
        <f>AVERAGE('Rolling or Skidding'!E31,'Rolling or Skidding'!E40)</f>
        <v>0</v>
      </c>
      <c r="F15" s="12" t="s">
        <v>6</v>
      </c>
      <c r="G15" s="43" t="str">
        <f>'Rolling or Skidding'!M28</f>
        <v>SKIDDING</v>
      </c>
    </row>
    <row r="16" spans="2:8" ht="13.5" thickBot="1" x14ac:dyDescent="0.25"/>
    <row r="17" spans="2:6" ht="18.75" thickBot="1" x14ac:dyDescent="0.25">
      <c r="B17" s="50" t="s">
        <v>252</v>
      </c>
      <c r="C17" s="2"/>
      <c r="D17" s="2"/>
      <c r="E17" s="2"/>
      <c r="F17" s="8"/>
    </row>
    <row r="18" spans="2:6" x14ac:dyDescent="0.2">
      <c r="B18" s="1" t="s">
        <v>138</v>
      </c>
      <c r="D18" s="32">
        <v>1.33</v>
      </c>
      <c r="F18" s="61" t="s">
        <v>237</v>
      </c>
    </row>
    <row r="19" spans="2:6" x14ac:dyDescent="0.2">
      <c r="B19" s="1" t="s">
        <v>140</v>
      </c>
      <c r="D19" s="32">
        <v>0.66</v>
      </c>
    </row>
    <row r="20" spans="2:6" x14ac:dyDescent="0.2">
      <c r="B20" s="1" t="s">
        <v>139</v>
      </c>
      <c r="D20" s="43">
        <f>'Veh. Parameters'!C27+'Pedal Char.'!D18*'Veh. Parameters'!C12/'Veh. Parameters'!C11</f>
        <v>0.7185113268608414</v>
      </c>
      <c r="E20" s="15"/>
    </row>
    <row r="21" spans="2:6" x14ac:dyDescent="0.2">
      <c r="B21" s="1" t="s">
        <v>134</v>
      </c>
    </row>
    <row r="22" spans="2:6" x14ac:dyDescent="0.2">
      <c r="B22" s="1" t="s">
        <v>141</v>
      </c>
      <c r="D22" s="43">
        <f>'Brake Bias Calc.'!D13</f>
        <v>1.2118242579123257</v>
      </c>
      <c r="F22" s="12" t="s">
        <v>79</v>
      </c>
    </row>
    <row r="24" spans="2:6" x14ac:dyDescent="0.2">
      <c r="D24" s="9"/>
    </row>
    <row r="36" spans="1:6" x14ac:dyDescent="0.2">
      <c r="A36" s="3" t="s">
        <v>238</v>
      </c>
    </row>
    <row r="37" spans="1:6" x14ac:dyDescent="0.2">
      <c r="B37" s="28" t="s">
        <v>133</v>
      </c>
      <c r="C37" s="26"/>
      <c r="D37" s="37">
        <v>2</v>
      </c>
      <c r="E37" s="26"/>
      <c r="F37" s="26" t="s">
        <v>79</v>
      </c>
    </row>
    <row r="38" spans="1:6" x14ac:dyDescent="0.2">
      <c r="B38" s="28"/>
      <c r="C38" s="26"/>
      <c r="D38" s="37">
        <f>D37-D13</f>
        <v>1.4158020477512565</v>
      </c>
      <c r="E38" s="26"/>
      <c r="F38" s="26" t="s">
        <v>79</v>
      </c>
    </row>
    <row r="39" spans="1:6" x14ac:dyDescent="0.2">
      <c r="B39" s="28"/>
      <c r="C39" s="26"/>
      <c r="D39" s="37"/>
      <c r="E39" s="26"/>
      <c r="F39" s="26"/>
    </row>
    <row r="40" spans="1:6" x14ac:dyDescent="0.2">
      <c r="B40" s="28" t="s">
        <v>170</v>
      </c>
      <c r="C40" s="26"/>
      <c r="D40" s="37">
        <f>'Pedal Char.'!D3/'Pedal Char.'!D4</f>
        <v>4.666666666666667</v>
      </c>
      <c r="E40" s="26"/>
      <c r="F40" s="26"/>
    </row>
    <row r="41" spans="1:6" x14ac:dyDescent="0.2">
      <c r="B41" s="28" t="s">
        <v>164</v>
      </c>
      <c r="C41" s="26"/>
      <c r="D41" s="37">
        <f>D5/D6*1000</f>
        <v>65</v>
      </c>
      <c r="E41" s="26"/>
      <c r="F41" s="26" t="s">
        <v>167</v>
      </c>
    </row>
    <row r="42" spans="1:6" x14ac:dyDescent="0.2">
      <c r="B42" s="28" t="s">
        <v>107</v>
      </c>
      <c r="C42" s="26"/>
      <c r="D42" s="37">
        <f>1-(((D41-E7)/2+E8)/D41)</f>
        <v>0.5</v>
      </c>
      <c r="E42" s="26"/>
      <c r="F42" s="26"/>
    </row>
    <row r="43" spans="1:6" x14ac:dyDescent="0.2">
      <c r="B43" s="28" t="s">
        <v>106</v>
      </c>
      <c r="C43" s="26"/>
      <c r="D43" s="37">
        <f>((D41-E7)/2+E8)/D41</f>
        <v>0.5</v>
      </c>
      <c r="E43" s="26"/>
      <c r="F43" s="26"/>
    </row>
  </sheetData>
  <sheetProtection algorithmName="SHA-512" hashValue="obmBGhQMoYUqs6EMucwM2mtPEyreVosmznzXcOJl394U5AR0IIXQBCFEC2pSnjOViUWOpollOJl/qTyu8YfM3g==" saltValue="FDshyC3Ctup/Ht5VyB1kDg==" spinCount="100000" sheet="1" objects="1" scenarios="1" selectLockedCells="1"/>
  <phoneticPr fontId="2" type="noConversion"/>
  <pageMargins left="0.75" right="0.75" top="1" bottom="1" header="0.5" footer="0.5"/>
  <pageSetup paperSize="9" scale="82" orientation="landscape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Scroll Bar 1">
              <controlPr defaultSiz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Scroll Bar 3">
              <controlPr defaultSiz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6" name="Button 9">
              <controlPr defaultSize="0" print="0" autoFill="0" autoPict="0" macro="[0]!gotobiasplot" altText="See bias plot">
                <anchor moveWithCells="1">
                  <from>
                    <xdr:col>4</xdr:col>
                    <xdr:colOff>19050</xdr:colOff>
                    <xdr:row>19</xdr:row>
                    <xdr:rowOff>0</xdr:rowOff>
                  </from>
                  <to>
                    <xdr:col>5</xdr:col>
                    <xdr:colOff>638175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Scroll Bar 12">
              <controlPr defaultSize="0" autoPict="0">
                <anchor moveWithCells="1">
                  <from>
                    <xdr:col>3</xdr:col>
                    <xdr:colOff>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8" name="Button 14">
              <controlPr defaultSize="0" print="0" autoFill="0" autoPict="0" macro="[0]!gotog" altText="See bias plot">
                <anchor moveWithCells="1">
                  <from>
                    <xdr:col>4</xdr:col>
                    <xdr:colOff>19050</xdr:colOff>
                    <xdr:row>11</xdr:row>
                    <xdr:rowOff>0</xdr:rowOff>
                  </from>
                  <to>
                    <xdr:col>5</xdr:col>
                    <xdr:colOff>638175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B1:AC48"/>
  <sheetViews>
    <sheetView topLeftCell="C1" zoomScale="70" zoomScaleNormal="70" workbookViewId="0">
      <pane ySplit="1" topLeftCell="A7" activePane="bottomLeft" state="frozen"/>
      <selection pane="bottomLeft" activeCell="F6" sqref="F6"/>
    </sheetView>
  </sheetViews>
  <sheetFormatPr defaultRowHeight="12.75" x14ac:dyDescent="0.2"/>
  <cols>
    <col min="1" max="1" width="4.7109375" style="1" customWidth="1"/>
    <col min="2" max="2" width="17.85546875" style="1" customWidth="1"/>
    <col min="3" max="3" width="55.140625" style="1" bestFit="1" customWidth="1"/>
    <col min="4" max="4" width="9.85546875" style="1" bestFit="1" customWidth="1"/>
    <col min="5" max="5" width="11.28515625" style="1" customWidth="1"/>
    <col min="6" max="8" width="9.140625" style="1"/>
    <col min="9" max="9" width="12.5703125" style="1" bestFit="1" customWidth="1"/>
    <col min="10" max="13" width="9.140625" style="1"/>
    <col min="14" max="14" width="12.5703125" style="1" bestFit="1" customWidth="1"/>
    <col min="15" max="18" width="9.140625" style="1"/>
    <col min="19" max="19" width="12.5703125" style="1" bestFit="1" customWidth="1"/>
    <col min="20" max="23" width="9.140625" style="1"/>
    <col min="24" max="24" width="12.5703125" style="1" bestFit="1" customWidth="1"/>
    <col min="25" max="28" width="9.140625" style="1"/>
    <col min="29" max="29" width="12.5703125" style="1" bestFit="1" customWidth="1"/>
    <col min="30" max="16384" width="9.140625" style="1"/>
  </cols>
  <sheetData>
    <row r="1" spans="2:29" ht="63.95" customHeight="1" x14ac:dyDescent="0.2"/>
    <row r="2" spans="2:29" ht="46.5" customHeight="1" x14ac:dyDescent="0.2">
      <c r="B2" s="102" t="s">
        <v>159</v>
      </c>
      <c r="C2" s="102"/>
      <c r="D2" s="102"/>
      <c r="E2" s="102"/>
      <c r="F2" s="102"/>
      <c r="G2" s="102"/>
      <c r="H2" s="102"/>
      <c r="I2" s="102"/>
      <c r="J2" s="102"/>
      <c r="K2" s="102"/>
      <c r="M2" s="6" t="s">
        <v>239</v>
      </c>
    </row>
    <row r="3" spans="2:29" x14ac:dyDescent="0.2">
      <c r="E3" s="1" t="s">
        <v>73</v>
      </c>
      <c r="F3" s="1" t="s">
        <v>75</v>
      </c>
      <c r="M3" s="1" t="s">
        <v>78</v>
      </c>
    </row>
    <row r="4" spans="2:29" x14ac:dyDescent="0.2">
      <c r="E4" s="1" t="s">
        <v>85</v>
      </c>
    </row>
    <row r="5" spans="2:29" x14ac:dyDescent="0.2">
      <c r="B5" s="55" t="s">
        <v>66</v>
      </c>
      <c r="C5" s="41"/>
      <c r="D5" s="41"/>
      <c r="E5" s="41">
        <v>0</v>
      </c>
      <c r="F5" s="41">
        <v>1</v>
      </c>
      <c r="G5" s="41">
        <v>2</v>
      </c>
      <c r="H5" s="41">
        <v>3</v>
      </c>
      <c r="I5" s="41">
        <v>4</v>
      </c>
      <c r="J5" s="41">
        <v>5</v>
      </c>
      <c r="K5" s="41">
        <v>6</v>
      </c>
      <c r="L5" s="41">
        <v>7</v>
      </c>
      <c r="M5" s="41">
        <v>8</v>
      </c>
      <c r="N5" s="41">
        <v>9</v>
      </c>
      <c r="O5" s="41">
        <v>10</v>
      </c>
      <c r="P5" s="41">
        <v>11</v>
      </c>
      <c r="Q5" s="41">
        <v>12</v>
      </c>
      <c r="R5" s="41">
        <v>13</v>
      </c>
      <c r="S5" s="41">
        <v>14</v>
      </c>
      <c r="T5" s="41">
        <v>15</v>
      </c>
      <c r="U5" s="41">
        <v>16</v>
      </c>
      <c r="V5" s="41">
        <v>17</v>
      </c>
      <c r="W5" s="41">
        <v>18</v>
      </c>
      <c r="X5" s="41">
        <v>19</v>
      </c>
      <c r="Y5" s="41">
        <v>20</v>
      </c>
      <c r="Z5" s="41">
        <v>21</v>
      </c>
      <c r="AA5" s="41">
        <v>22</v>
      </c>
      <c r="AB5" s="41">
        <v>23</v>
      </c>
      <c r="AC5" s="41">
        <v>24</v>
      </c>
    </row>
    <row r="6" spans="2:29" x14ac:dyDescent="0.2">
      <c r="B6" s="55"/>
      <c r="C6" s="41" t="s">
        <v>72</v>
      </c>
      <c r="D6" s="41"/>
      <c r="E6" s="41">
        <f>'Veh. Parameters'!E13</f>
        <v>549.36</v>
      </c>
      <c r="F6" s="41">
        <f t="shared" ref="F6:AC6" si="0">$E$6+E$48</f>
        <v>988.45997650416007</v>
      </c>
      <c r="G6" s="41">
        <f t="shared" si="0"/>
        <v>1071.7761377779125</v>
      </c>
      <c r="H6" s="41">
        <f t="shared" si="0"/>
        <v>1068.1972700551596</v>
      </c>
      <c r="I6" s="41">
        <f t="shared" si="0"/>
        <v>1068.6497108932481</v>
      </c>
      <c r="J6" s="41">
        <f t="shared" si="0"/>
        <v>1068.5923459378178</v>
      </c>
      <c r="K6" s="41">
        <f t="shared" si="0"/>
        <v>1068.5996165491231</v>
      </c>
      <c r="L6" s="41">
        <f t="shared" si="0"/>
        <v>1068.5986950062329</v>
      </c>
      <c r="M6" s="41">
        <f t="shared" si="0"/>
        <v>1068.5988118102009</v>
      </c>
      <c r="N6" s="41">
        <f t="shared" si="0"/>
        <v>1068.5987970054889</v>
      </c>
      <c r="O6" s="41">
        <f t="shared" si="0"/>
        <v>1068.5987988819618</v>
      </c>
      <c r="P6" s="41">
        <f t="shared" si="0"/>
        <v>1068.5987986441219</v>
      </c>
      <c r="Q6" s="41">
        <f t="shared" si="0"/>
        <v>1068.5987986742678</v>
      </c>
      <c r="R6" s="41">
        <f t="shared" si="0"/>
        <v>1068.5987986704467</v>
      </c>
      <c r="S6" s="41">
        <f t="shared" si="0"/>
        <v>1068.598798670931</v>
      </c>
      <c r="T6" s="41">
        <f t="shared" si="0"/>
        <v>1068.5987986708697</v>
      </c>
      <c r="U6" s="41">
        <f t="shared" si="0"/>
        <v>1068.5987986708774</v>
      </c>
      <c r="V6" s="41">
        <f t="shared" si="0"/>
        <v>1068.5987986708765</v>
      </c>
      <c r="W6" s="41">
        <f t="shared" si="0"/>
        <v>1068.5987986708767</v>
      </c>
      <c r="X6" s="41">
        <f t="shared" si="0"/>
        <v>1068.5987986708765</v>
      </c>
      <c r="Y6" s="41">
        <f t="shared" si="0"/>
        <v>1068.5987986708767</v>
      </c>
      <c r="Z6" s="41">
        <f t="shared" si="0"/>
        <v>1068.5987986708765</v>
      </c>
      <c r="AA6" s="41">
        <f t="shared" si="0"/>
        <v>1068.5987986708767</v>
      </c>
      <c r="AB6" s="41">
        <f t="shared" si="0"/>
        <v>1068.5987986708765</v>
      </c>
      <c r="AC6" s="41">
        <f t="shared" si="0"/>
        <v>1068.5987986708767</v>
      </c>
    </row>
    <row r="7" spans="2:29" x14ac:dyDescent="0.2">
      <c r="B7" s="55"/>
      <c r="C7" s="41" t="s">
        <v>70</v>
      </c>
      <c r="D7" s="53"/>
      <c r="E7" s="54">
        <f>'TYRE-PACEJKA'!B25</f>
        <v>675.43647144747149</v>
      </c>
      <c r="F7" s="54">
        <f>'TYRE-PACEJKA'!C25</f>
        <v>1215.3085748817175</v>
      </c>
      <c r="G7" s="54">
        <f>'TYRE-PACEJKA'!D25</f>
        <v>1317.7455451476487</v>
      </c>
      <c r="H7" s="54">
        <f>'TYRE-PACEJKA'!E25</f>
        <v>1313.3453380222056</v>
      </c>
      <c r="I7" s="54">
        <f>'TYRE-PACEJKA'!F25</f>
        <v>1313.9016126749236</v>
      </c>
      <c r="J7" s="54">
        <f>'TYRE-PACEJKA'!G25</f>
        <v>1313.8310826343661</v>
      </c>
      <c r="K7" s="54">
        <f>'TYRE-PACEJKA'!H25</f>
        <v>1313.8400218291481</v>
      </c>
      <c r="L7" s="54">
        <f>'TYRE-PACEJKA'!I25</f>
        <v>1313.8388887949297</v>
      </c>
      <c r="M7" s="54">
        <f>'TYRE-PACEJKA'!J25</f>
        <v>1313.8390324050581</v>
      </c>
      <c r="N7" s="54">
        <f>'TYRE-PACEJKA'!K25</f>
        <v>1313.839014202709</v>
      </c>
      <c r="O7" s="54">
        <f>'TYRE-PACEJKA'!L25</f>
        <v>1313.8390165098267</v>
      </c>
      <c r="P7" s="54">
        <f>'TYRE-PACEJKA'!M25</f>
        <v>1313.8390162174032</v>
      </c>
      <c r="Q7" s="54">
        <f>'TYRE-PACEJKA'!N25</f>
        <v>1313.8390162544677</v>
      </c>
      <c r="R7" s="54">
        <f>'TYRE-PACEJKA'!O25</f>
        <v>1313.8390162497697</v>
      </c>
      <c r="S7" s="54">
        <f>'TYRE-PACEJKA'!P25</f>
        <v>1313.8390162503651</v>
      </c>
      <c r="T7" s="54">
        <f>'TYRE-PACEJKA'!Q25</f>
        <v>1313.8390162502897</v>
      </c>
      <c r="U7" s="54">
        <f>'TYRE-PACEJKA'!R25</f>
        <v>1313.8390162502992</v>
      </c>
      <c r="V7" s="54">
        <f>'TYRE-PACEJKA'!S25</f>
        <v>1313.8390162502981</v>
      </c>
      <c r="W7" s="54">
        <f>'TYRE-PACEJKA'!T25</f>
        <v>1313.8390162502983</v>
      </c>
      <c r="X7" s="54">
        <f>'TYRE-PACEJKA'!U25</f>
        <v>1313.8390162502981</v>
      </c>
      <c r="Y7" s="54">
        <f>'TYRE-PACEJKA'!V25</f>
        <v>1313.8390162502983</v>
      </c>
      <c r="Z7" s="54">
        <f>'TYRE-PACEJKA'!W25</f>
        <v>1313.8390162502981</v>
      </c>
      <c r="AA7" s="54">
        <f>'TYRE-PACEJKA'!X25</f>
        <v>1313.8390162502983</v>
      </c>
      <c r="AB7" s="54">
        <f>'TYRE-PACEJKA'!Y25</f>
        <v>1313.8390162502981</v>
      </c>
      <c r="AC7" s="54">
        <f>'TYRE-PACEJKA'!Z25</f>
        <v>1313.8390162502983</v>
      </c>
    </row>
    <row r="8" spans="2:29" x14ac:dyDescent="0.2">
      <c r="B8" s="55"/>
      <c r="C8" s="41" t="s">
        <v>71</v>
      </c>
      <c r="D8" s="41"/>
      <c r="E8" s="54">
        <f>'TYRE-PACEJKA'!B44</f>
        <v>641.04247671865016</v>
      </c>
      <c r="F8" s="54">
        <f>'TYRE-PACEJKA'!C44</f>
        <v>1153.4236775074367</v>
      </c>
      <c r="G8" s="54">
        <f>'TYRE-PACEJKA'!D44</f>
        <v>1250.6444405291652</v>
      </c>
      <c r="H8" s="54">
        <f>'TYRE-PACEJKA'!E44</f>
        <v>1246.4682969642136</v>
      </c>
      <c r="I8" s="54">
        <f>'TYRE-PACEJKA'!F44</f>
        <v>1246.9962454777872</v>
      </c>
      <c r="J8" s="54">
        <f>'TYRE-PACEJKA'!G44</f>
        <v>1246.929306907258</v>
      </c>
      <c r="K8" s="54">
        <f>'TYRE-PACEJKA'!H44</f>
        <v>1246.9377909080561</v>
      </c>
      <c r="L8" s="54">
        <f>'TYRE-PACEJKA'!I44</f>
        <v>1246.9367155692312</v>
      </c>
      <c r="M8" s="54">
        <f>'TYRE-PACEJKA'!J44</f>
        <v>1246.9368518665683</v>
      </c>
      <c r="N8" s="54">
        <f>'TYRE-PACEJKA'!K44</f>
        <v>1246.9368345911034</v>
      </c>
      <c r="O8" s="54">
        <f>'TYRE-PACEJKA'!L44</f>
        <v>1246.9368367807401</v>
      </c>
      <c r="P8" s="54">
        <f>'TYRE-PACEJKA'!M44</f>
        <v>1246.9368365032074</v>
      </c>
      <c r="Q8" s="54">
        <f>'TYRE-PACEJKA'!N44</f>
        <v>1246.9368365383841</v>
      </c>
      <c r="R8" s="54">
        <f>'TYRE-PACEJKA'!O44</f>
        <v>1246.9368365339255</v>
      </c>
      <c r="S8" s="54">
        <f>'TYRE-PACEJKA'!P44</f>
        <v>1246.9368365344906</v>
      </c>
      <c r="T8" s="54">
        <f>'TYRE-PACEJKA'!Q44</f>
        <v>1246.9368365344189</v>
      </c>
      <c r="U8" s="54">
        <f>'TYRE-PACEJKA'!R44</f>
        <v>1246.936836534428</v>
      </c>
      <c r="V8" s="54">
        <f>'TYRE-PACEJKA'!S44</f>
        <v>1246.9368365344269</v>
      </c>
      <c r="W8" s="54">
        <f>'TYRE-PACEJKA'!T44</f>
        <v>1246.9368365344271</v>
      </c>
      <c r="X8" s="54">
        <f>'TYRE-PACEJKA'!U44</f>
        <v>1246.9368365344269</v>
      </c>
      <c r="Y8" s="54">
        <f>'TYRE-PACEJKA'!V44</f>
        <v>1246.9368365344271</v>
      </c>
      <c r="Z8" s="54">
        <f>'TYRE-PACEJKA'!W44</f>
        <v>1246.9368365344269</v>
      </c>
      <c r="AA8" s="54">
        <f>'TYRE-PACEJKA'!X44</f>
        <v>1246.9368365344271</v>
      </c>
      <c r="AB8" s="54">
        <f>'TYRE-PACEJKA'!Y44</f>
        <v>1246.9368365344269</v>
      </c>
      <c r="AC8" s="54">
        <f>'TYRE-PACEJKA'!Z44</f>
        <v>1246.9368365344271</v>
      </c>
    </row>
    <row r="9" spans="2:29" x14ac:dyDescent="0.2">
      <c r="B9" s="55"/>
      <c r="C9" s="41" t="s">
        <v>77</v>
      </c>
      <c r="D9" s="41"/>
      <c r="E9" s="41">
        <f>IF('Front Braking'!$D$19&lt;'Rolling or Skidding'!E7,'Front Braking'!$D$19,E8)</f>
        <v>440.04938185876375</v>
      </c>
      <c r="F9" s="41">
        <f>IF('Front Braking'!$D$19*'Pedal Char.'!$D$10&lt;'Rolling or Skidding'!F7,'Front Braking'!$D$19*'Pedal Char.'!$D$10,F8)</f>
        <v>440.04938185876375</v>
      </c>
      <c r="G9" s="41">
        <f>IF('Front Braking'!$D$19*'Pedal Char.'!$D$10&lt;'Rolling or Skidding'!G7,'Front Braking'!$D$19*'Pedal Char.'!$D$10,G8)</f>
        <v>440.04938185876375</v>
      </c>
      <c r="H9" s="41">
        <f>IF('Front Braking'!$D$19*'Pedal Char.'!$D$11&lt;'Rolling or Skidding'!H7,'Front Braking'!$D$19*'Pedal Char.'!$D$11,H8)</f>
        <v>440.04938185876375</v>
      </c>
      <c r="I9" s="41">
        <f>IF('Front Braking'!$D$19*'Pedal Char.'!$D$11&lt;'Rolling or Skidding'!I7,'Front Braking'!$D$19*'Pedal Char.'!$D$11,I8)</f>
        <v>440.04938185876375</v>
      </c>
      <c r="J9" s="41">
        <f>IF('Front Braking'!$D$19*'Pedal Char.'!$D$11&lt;'Rolling or Skidding'!J7,'Front Braking'!$D$19*'Pedal Char.'!$D$11,J8)</f>
        <v>440.04938185876375</v>
      </c>
      <c r="K9" s="41">
        <f>IF('Front Braking'!$D$19*'Pedal Char.'!$D$11&lt;'Rolling or Skidding'!K7,'Front Braking'!$D$19*'Pedal Char.'!$D$11,K8)</f>
        <v>440.04938185876375</v>
      </c>
      <c r="L9" s="41">
        <f>IF('Front Braking'!$D$19*'Pedal Char.'!$D$11&lt;'Rolling or Skidding'!L7,'Front Braking'!$D$19*'Pedal Char.'!$D$11,L8)</f>
        <v>440.04938185876375</v>
      </c>
      <c r="M9" s="41">
        <f>IF('Front Braking'!$D$19*'Pedal Char.'!$D$11&lt;'Rolling or Skidding'!M7,'Front Braking'!$D$19*'Pedal Char.'!$D$11,M8)</f>
        <v>440.04938185876375</v>
      </c>
      <c r="N9" s="41">
        <f>IF('Front Braking'!$D$19*'Pedal Char.'!$D$11&lt;'Rolling or Skidding'!N7,'Front Braking'!$D$19*'Pedal Char.'!$D$11,N8)</f>
        <v>440.04938185876375</v>
      </c>
      <c r="O9" s="41">
        <f>IF('Front Braking'!$D$19*'Pedal Char.'!$D$11&lt;'Rolling or Skidding'!O7,'Front Braking'!$D$19*'Pedal Char.'!$D$11,O8)</f>
        <v>440.04938185876375</v>
      </c>
      <c r="P9" s="41">
        <f>IF('Front Braking'!$D$19*'Pedal Char.'!$D$11&lt;'Rolling or Skidding'!P7,'Front Braking'!$D$19*'Pedal Char.'!$D$11,P8)</f>
        <v>440.04938185876375</v>
      </c>
      <c r="Q9" s="41">
        <f>IF('Front Braking'!$D$19*'Pedal Char.'!$D$11&lt;'Rolling or Skidding'!Q7,'Front Braking'!$D$19*'Pedal Char.'!$D$11,Q8)</f>
        <v>440.04938185876375</v>
      </c>
      <c r="R9" s="41">
        <f>IF('Front Braking'!$D$19*'Pedal Char.'!$D$11&lt;'Rolling or Skidding'!R7,'Front Braking'!$D$19*'Pedal Char.'!$D$11,R8)</f>
        <v>440.04938185876375</v>
      </c>
      <c r="S9" s="41">
        <f>IF('Front Braking'!$D$19*'Pedal Char.'!$D$11&lt;'Rolling or Skidding'!S7,'Front Braking'!$D$19*'Pedal Char.'!$D$11,S8)</f>
        <v>440.04938185876375</v>
      </c>
      <c r="T9" s="41">
        <f>IF('Front Braking'!$D$19*'Pedal Char.'!$D$11&lt;'Rolling or Skidding'!T7,'Front Braking'!$D$19*'Pedal Char.'!$D$11,T8)</f>
        <v>440.04938185876375</v>
      </c>
      <c r="U9" s="41">
        <f>IF('Front Braking'!$D$19*'Pedal Char.'!$D$11&lt;'Rolling or Skidding'!U7,'Front Braking'!$D$19*'Pedal Char.'!$D$11,U8)</f>
        <v>440.04938185876375</v>
      </c>
      <c r="V9" s="41">
        <f>IF('Front Braking'!$D$19*'Pedal Char.'!$D$11&lt;'Rolling or Skidding'!V7,'Front Braking'!$D$19*'Pedal Char.'!$D$11,V8)</f>
        <v>440.04938185876375</v>
      </c>
      <c r="W9" s="41">
        <f>IF('Front Braking'!$D$19*'Pedal Char.'!$D$11&lt;'Rolling or Skidding'!W7,'Front Braking'!$D$19*'Pedal Char.'!$D$11,W8)</f>
        <v>440.04938185876375</v>
      </c>
      <c r="X9" s="41">
        <f>IF('Front Braking'!$D$19*'Pedal Char.'!$D$11&lt;'Rolling or Skidding'!X7,'Front Braking'!$D$19*'Pedal Char.'!$D$11,X8)</f>
        <v>440.04938185876375</v>
      </c>
      <c r="Y9" s="41">
        <f>IF('Front Braking'!$D$19*'Pedal Char.'!$D$11&lt;'Rolling or Skidding'!Y7,'Front Braking'!$D$19*'Pedal Char.'!$D$11,Y8)</f>
        <v>440.04938185876375</v>
      </c>
      <c r="Z9" s="41">
        <f>IF('Front Braking'!$D$19*'Pedal Char.'!$D$11&lt;'Rolling or Skidding'!Z7,'Front Braking'!$D$19*'Pedal Char.'!$D$11,Z8)</f>
        <v>440.04938185876375</v>
      </c>
      <c r="AA9" s="41">
        <f>IF('Front Braking'!$D$19*'Pedal Char.'!$D$11&lt;'Rolling or Skidding'!AA7,'Front Braking'!$D$19*'Pedal Char.'!$D$11,AA8)</f>
        <v>440.04938185876375</v>
      </c>
      <c r="AB9" s="41">
        <f>IF('Front Braking'!$D$19*'Pedal Char.'!$D$11&lt;'Rolling or Skidding'!AB7,'Front Braking'!$D$19*'Pedal Char.'!$D$11,AB8)</f>
        <v>440.04938185876375</v>
      </c>
      <c r="AC9" s="41">
        <f>IF('Front Braking'!$D$19*'Pedal Char.'!$D$11&lt;'Rolling or Skidding'!AC7,'Front Braking'!$D$19*'Pedal Char.'!$D$11,AC8)</f>
        <v>440.04938185876375</v>
      </c>
    </row>
    <row r="10" spans="2:29" x14ac:dyDescent="0.2">
      <c r="B10" s="55"/>
      <c r="C10" s="41" t="s">
        <v>158</v>
      </c>
      <c r="D10" s="41"/>
      <c r="E10" s="41" t="str">
        <f>IF('Front Braking'!$D$19&gt;'Rolling or Skidding'!E7, "SKIDDING","Rolling")</f>
        <v>Rolling</v>
      </c>
      <c r="F10" s="41" t="str">
        <f>IF('Front Braking'!$D$19*'Pedal Char.'!$D$10&gt;'Rolling or Skidding'!F7, "SKIDDING","Rolling")</f>
        <v>Rolling</v>
      </c>
      <c r="G10" s="41" t="str">
        <f>IF('Front Braking'!$D$19*'Pedal Char.'!$D$10&gt;'Rolling or Skidding'!G7, "SKIDDING","Rolling")</f>
        <v>Rolling</v>
      </c>
      <c r="H10" s="41" t="str">
        <f>IF('Front Braking'!$D$19*'Pedal Char.'!$D$11&gt;'Rolling or Skidding'!H7, "SKIDDING","Rolling")</f>
        <v>Rolling</v>
      </c>
      <c r="I10" s="41" t="str">
        <f>IF('Front Braking'!$D$19*'Pedal Char.'!$D$11&gt;'Rolling or Skidding'!I7, "SKIDDING","Rolling")</f>
        <v>Rolling</v>
      </c>
      <c r="J10" s="41" t="str">
        <f>IF('Front Braking'!$D$19*'Pedal Char.'!$D$11&gt;'Rolling or Skidding'!J7, "SKIDDING","Rolling")</f>
        <v>Rolling</v>
      </c>
      <c r="K10" s="41" t="str">
        <f>IF('Front Braking'!$D$19*'Pedal Char.'!$D$11&gt;'Rolling or Skidding'!K7, "SKIDDING","Rolling")</f>
        <v>Rolling</v>
      </c>
      <c r="L10" s="41" t="str">
        <f>IF('Front Braking'!$D$19*'Pedal Char.'!$D$11&gt;'Rolling or Skidding'!L7, "SKIDDING","Rolling")</f>
        <v>Rolling</v>
      </c>
      <c r="M10" s="41" t="str">
        <f>IF('Front Braking'!$D$19*'Pedal Char.'!$D$11&gt;'Rolling or Skidding'!M7, "SKIDDING","Rolling")</f>
        <v>Rolling</v>
      </c>
      <c r="N10" s="41" t="str">
        <f>IF('Front Braking'!$D$19*'Pedal Char.'!$D$11&gt;'Rolling or Skidding'!N7, "SKIDDING","Rolling")</f>
        <v>Rolling</v>
      </c>
      <c r="O10" s="41" t="str">
        <f>IF('Front Braking'!$D$19*'Pedal Char.'!$D$11&gt;'Rolling or Skidding'!O7, "SKIDDING","Rolling")</f>
        <v>Rolling</v>
      </c>
      <c r="P10" s="41" t="str">
        <f>IF('Front Braking'!$D$19*'Pedal Char.'!$D$11&gt;'Rolling or Skidding'!P7, "SKIDDING","Rolling")</f>
        <v>Rolling</v>
      </c>
      <c r="Q10" s="41" t="str">
        <f>IF('Front Braking'!$D$19*'Pedal Char.'!$D$11&gt;'Rolling or Skidding'!Q7, "SKIDDING","Rolling")</f>
        <v>Rolling</v>
      </c>
      <c r="R10" s="41" t="str">
        <f>IF('Front Braking'!$D$19*'Pedal Char.'!$D$11&gt;'Rolling or Skidding'!R7, "SKIDDING","Rolling")</f>
        <v>Rolling</v>
      </c>
      <c r="S10" s="41" t="str">
        <f>IF('Front Braking'!$D$19*'Pedal Char.'!$D$11&gt;'Rolling or Skidding'!S7, "SKIDDING","Rolling")</f>
        <v>Rolling</v>
      </c>
      <c r="T10" s="41" t="str">
        <f>IF('Front Braking'!$D$19*'Pedal Char.'!$D$11&gt;'Rolling or Skidding'!T7, "SKIDDING","Rolling")</f>
        <v>Rolling</v>
      </c>
      <c r="U10" s="41" t="str">
        <f>IF('Front Braking'!$D$19*'Pedal Char.'!$D$11&gt;'Rolling or Skidding'!U7, "SKIDDING","Rolling")</f>
        <v>Rolling</v>
      </c>
      <c r="V10" s="41" t="str">
        <f>IF('Front Braking'!$D$19*'Pedal Char.'!$D$11&gt;'Rolling or Skidding'!V7, "SKIDDING","Rolling")</f>
        <v>Rolling</v>
      </c>
      <c r="W10" s="41" t="str">
        <f>IF('Front Braking'!$D$19*'Pedal Char.'!$D$11&gt;'Rolling or Skidding'!W7, "SKIDDING","Rolling")</f>
        <v>Rolling</v>
      </c>
      <c r="X10" s="41" t="str">
        <f>IF('Front Braking'!$D$19*'Pedal Char.'!$D$11&gt;'Rolling or Skidding'!X7, "SKIDDING","Rolling")</f>
        <v>Rolling</v>
      </c>
      <c r="Y10" s="41" t="str">
        <f>IF('Front Braking'!$D$19*'Pedal Char.'!$D$11&gt;'Rolling or Skidding'!Y7, "SKIDDING","Rolling")</f>
        <v>Rolling</v>
      </c>
      <c r="Z10" s="41" t="str">
        <f>IF('Front Braking'!$D$19*'Pedal Char.'!$D$11&gt;'Rolling or Skidding'!Z7, "SKIDDING","Rolling")</f>
        <v>Rolling</v>
      </c>
      <c r="AA10" s="41" t="str">
        <f>IF('Front Braking'!$D$19*'Pedal Char.'!$D$11&gt;'Rolling or Skidding'!AA7, "SKIDDING","Rolling")</f>
        <v>Rolling</v>
      </c>
      <c r="AB10" s="41" t="str">
        <f>IF('Front Braking'!$D$19*'Pedal Char.'!$D$11&gt;'Rolling or Skidding'!AB7, "SKIDDING","Rolling")</f>
        <v>Rolling</v>
      </c>
      <c r="AC10" s="41" t="str">
        <f>IF('Front Braking'!$D$19*'Pedal Char.'!$D$11&gt;'Rolling or Skidding'!AC7, "SKIDDING","Rolling")</f>
        <v>Rolling</v>
      </c>
    </row>
    <row r="11" spans="2:29" x14ac:dyDescent="0.2">
      <c r="B11" s="55"/>
      <c r="C11" s="41" t="s">
        <v>74</v>
      </c>
      <c r="D11" s="41"/>
      <c r="E11" s="41">
        <f t="shared" ref="E11:AC11" si="1">E9/E6</f>
        <v>0.80102188338933256</v>
      </c>
      <c r="F11" s="41">
        <f t="shared" si="1"/>
        <v>0.44518684855108215</v>
      </c>
      <c r="G11" s="41">
        <f t="shared" si="1"/>
        <v>0.41057956633659293</v>
      </c>
      <c r="H11" s="41">
        <f t="shared" si="1"/>
        <v>0.4119551642703978</v>
      </c>
      <c r="I11" s="41">
        <f t="shared" si="1"/>
        <v>0.41178075226440791</v>
      </c>
      <c r="J11" s="41">
        <f t="shared" si="1"/>
        <v>0.41180285777975295</v>
      </c>
      <c r="K11" s="41">
        <f t="shared" si="1"/>
        <v>0.41180005592724717</v>
      </c>
      <c r="L11" s="41">
        <f t="shared" si="1"/>
        <v>0.41180041105720894</v>
      </c>
      <c r="M11" s="41">
        <f t="shared" si="1"/>
        <v>0.41180036604506637</v>
      </c>
      <c r="N11" s="41">
        <f t="shared" si="1"/>
        <v>0.41180037175028134</v>
      </c>
      <c r="O11" s="41">
        <f t="shared" si="1"/>
        <v>0.41180037102715472</v>
      </c>
      <c r="P11" s="41">
        <f t="shared" si="1"/>
        <v>0.41180037111880985</v>
      </c>
      <c r="Q11" s="41">
        <f t="shared" si="1"/>
        <v>0.4118003711071927</v>
      </c>
      <c r="R11" s="41">
        <f t="shared" si="1"/>
        <v>0.41180037110866519</v>
      </c>
      <c r="S11" s="41">
        <f t="shared" si="1"/>
        <v>0.41180037110847856</v>
      </c>
      <c r="T11" s="41">
        <f t="shared" si="1"/>
        <v>0.41180037110850221</v>
      </c>
      <c r="U11" s="41">
        <f t="shared" si="1"/>
        <v>0.41180037110849921</v>
      </c>
      <c r="V11" s="41">
        <f t="shared" si="1"/>
        <v>0.4118003711084996</v>
      </c>
      <c r="W11" s="41">
        <f t="shared" si="1"/>
        <v>0.41180037110849949</v>
      </c>
      <c r="X11" s="41">
        <f t="shared" si="1"/>
        <v>0.4118003711084996</v>
      </c>
      <c r="Y11" s="41">
        <f t="shared" si="1"/>
        <v>0.41180037110849949</v>
      </c>
      <c r="Z11" s="41">
        <f t="shared" si="1"/>
        <v>0.4118003711084996</v>
      </c>
      <c r="AA11" s="41">
        <f t="shared" si="1"/>
        <v>0.41180037110849949</v>
      </c>
      <c r="AB11" s="41">
        <f t="shared" si="1"/>
        <v>0.4118003711084996</v>
      </c>
      <c r="AC11" s="41">
        <f t="shared" si="1"/>
        <v>0.41180037110849949</v>
      </c>
    </row>
    <row r="12" spans="2:29" x14ac:dyDescent="0.2">
      <c r="B12" s="55"/>
      <c r="C12" s="41" t="s">
        <v>160</v>
      </c>
      <c r="D12" s="41"/>
      <c r="E12" s="54">
        <f>IF((E7-'Front Braking'!$D$19)&lt;0,0,E7-'Front Braking'!$D$19)</f>
        <v>235.38708958870774</v>
      </c>
      <c r="F12" s="54">
        <f>IF((F7-'Front Braking'!$D$19*'Pedal Char.'!$D$10)&lt;0,0,F7-'Front Braking'!$D$19*'Pedal Char.'!$D$10)</f>
        <v>775.2591930229537</v>
      </c>
      <c r="G12" s="54">
        <f>IF((G7-'Front Braking'!$D$19*'Pedal Char.'!$D$10)&lt;0,0,G7-'Front Braking'!$D$19*'Pedal Char.'!$D$10)</f>
        <v>877.69616328888492</v>
      </c>
      <c r="H12" s="54">
        <f>IF((H7-'Front Braking'!$D$19*'Pedal Char.'!$D$11)&lt;0,0,H7-'Front Braking'!$D$19*'Pedal Char.'!$D$11)</f>
        <v>873.29595616344182</v>
      </c>
      <c r="I12" s="54">
        <f>IF((I7-'Front Braking'!$D$19*'Pedal Char.'!$D$11)&lt;0,0,I7-'Front Braking'!$D$19*'Pedal Char.'!$D$11)</f>
        <v>873.85223081615982</v>
      </c>
      <c r="J12" s="54">
        <f>IF((J7-'Front Braking'!$D$19*'Pedal Char.'!$D$11)&lt;0,0,J7-'Front Braking'!$D$19*'Pedal Char.'!$D$11)</f>
        <v>873.7817007756023</v>
      </c>
      <c r="K12" s="54">
        <f>IF((K7-'Front Braking'!$D$19*'Pedal Char.'!$D$11)&lt;0,0,K7-'Front Braking'!$D$19*'Pedal Char.'!$D$11)</f>
        <v>873.79063997038429</v>
      </c>
      <c r="L12" s="54">
        <f>IF((L7-'Front Braking'!$D$19*'Pedal Char.'!$D$11)&lt;0,0,L7-'Front Braking'!$D$19*'Pedal Char.'!$D$11)</f>
        <v>873.78950693616594</v>
      </c>
      <c r="M12" s="54">
        <f>IF((M7-'Front Braking'!$D$19*'Pedal Char.'!$D$11)&lt;0,0,M7-'Front Braking'!$D$19*'Pedal Char.'!$D$11)</f>
        <v>873.7896505462943</v>
      </c>
      <c r="N12" s="54">
        <f>IF((N7-'Front Braking'!$D$19*'Pedal Char.'!$D$11)&lt;0,0,N7-'Front Braking'!$D$19*'Pedal Char.'!$D$11)</f>
        <v>873.78963234394519</v>
      </c>
      <c r="O12" s="54">
        <f>IF((O7-'Front Braking'!$D$19*'Pedal Char.'!$D$11)&lt;0,0,O7-'Front Braking'!$D$19*'Pedal Char.'!$D$11)</f>
        <v>873.7896346510629</v>
      </c>
      <c r="P12" s="54">
        <f>IF((P7-'Front Braking'!$D$19*'Pedal Char.'!$D$11)&lt;0,0,P7-'Front Braking'!$D$19*'Pedal Char.'!$D$11)</f>
        <v>873.78963435863943</v>
      </c>
      <c r="Q12" s="54">
        <f>IF((Q7-'Front Braking'!$D$19*'Pedal Char.'!$D$11)&lt;0,0,Q7-'Front Braking'!$D$19*'Pedal Char.'!$D$11)</f>
        <v>873.78963439570384</v>
      </c>
      <c r="R12" s="54">
        <f>IF((R7-'Front Braking'!$D$19*'Pedal Char.'!$D$11)&lt;0,0,R7-'Front Braking'!$D$19*'Pedal Char.'!$D$11)</f>
        <v>873.78963439100585</v>
      </c>
      <c r="S12" s="54">
        <f>IF((S7-'Front Braking'!$D$19*'Pedal Char.'!$D$11)&lt;0,0,S7-'Front Braking'!$D$19*'Pedal Char.'!$D$11)</f>
        <v>873.78963439160134</v>
      </c>
      <c r="T12" s="54">
        <f>IF((T7-'Front Braking'!$D$19*'Pedal Char.'!$D$11)&lt;0,0,T7-'Front Braking'!$D$19*'Pedal Char.'!$D$11)</f>
        <v>873.78963439152585</v>
      </c>
      <c r="U12" s="54">
        <f>IF((U7-'Front Braking'!$D$19*'Pedal Char.'!$D$11)&lt;0,0,U7-'Front Braking'!$D$19*'Pedal Char.'!$D$11)</f>
        <v>873.7896343915354</v>
      </c>
      <c r="V12" s="54">
        <f>IF((V7-'Front Braking'!$D$19*'Pedal Char.'!$D$11)&lt;0,0,V7-'Front Braking'!$D$19*'Pedal Char.'!$D$11)</f>
        <v>873.78963439153426</v>
      </c>
      <c r="W12" s="54">
        <f>IF((W7-'Front Braking'!$D$19*'Pedal Char.'!$D$11)&lt;0,0,W7-'Front Braking'!$D$19*'Pedal Char.'!$D$11)</f>
        <v>873.78963439153449</v>
      </c>
      <c r="X12" s="54">
        <f>IF((X7-'Front Braking'!$D$19*'Pedal Char.'!$D$11)&lt;0,0,X7-'Front Braking'!$D$19*'Pedal Char.'!$D$11)</f>
        <v>873.78963439153426</v>
      </c>
      <c r="Y12" s="54">
        <f>IF((Y7-'Front Braking'!$D$19*'Pedal Char.'!$D$11)&lt;0,0,Y7-'Front Braking'!$D$19*'Pedal Char.'!$D$11)</f>
        <v>873.78963439153449</v>
      </c>
      <c r="Z12" s="54">
        <f>IF((Z7-'Front Braking'!$D$19*'Pedal Char.'!$D$11)&lt;0,0,Z7-'Front Braking'!$D$19*'Pedal Char.'!$D$11)</f>
        <v>873.78963439153426</v>
      </c>
      <c r="AA12" s="54">
        <f>IF((AA7-'Front Braking'!$D$19*'Pedal Char.'!$D$11)&lt;0,0,AA7-'Front Braking'!$D$19*'Pedal Char.'!$D$11)</f>
        <v>873.78963439153449</v>
      </c>
      <c r="AB12" s="54">
        <f>IF((AB7-'Front Braking'!$D$19*'Pedal Char.'!$D$11)&lt;0,0,AB7-'Front Braking'!$D$19*'Pedal Char.'!$D$11)</f>
        <v>873.78963439153426</v>
      </c>
      <c r="AC12" s="54">
        <f>IF((AC7-'Front Braking'!$D$19*'Pedal Char.'!$D$11)&lt;0,0,AC7-'Front Braking'!$D$19*'Pedal Char.'!$D$11)</f>
        <v>873.78963439153449</v>
      </c>
    </row>
    <row r="13" spans="2:29" x14ac:dyDescent="0.2">
      <c r="B13" s="55"/>
      <c r="C13" s="41" t="s">
        <v>161</v>
      </c>
      <c r="D13" s="41"/>
      <c r="E13" s="54">
        <f>AVERAGE(N12:AC12)</f>
        <v>873.78963427795588</v>
      </c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</row>
    <row r="14" spans="2:29" x14ac:dyDescent="0.2">
      <c r="B14" s="55" t="s">
        <v>67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</row>
    <row r="15" spans="2:29" x14ac:dyDescent="0.2">
      <c r="B15" s="55"/>
      <c r="C15" s="41" t="s">
        <v>72</v>
      </c>
      <c r="D15" s="41"/>
      <c r="E15" s="41">
        <f>'Veh. Parameters'!E14</f>
        <v>549.36</v>
      </c>
      <c r="F15" s="41">
        <f t="shared" ref="F15:AC15" si="2">$E$15+E$48</f>
        <v>988.45997650416007</v>
      </c>
      <c r="G15" s="41">
        <f t="shared" si="2"/>
        <v>1071.7761377779125</v>
      </c>
      <c r="H15" s="41">
        <f t="shared" si="2"/>
        <v>1068.1972700551596</v>
      </c>
      <c r="I15" s="41">
        <f t="shared" si="2"/>
        <v>1068.6497108932481</v>
      </c>
      <c r="J15" s="41">
        <f t="shared" si="2"/>
        <v>1068.5923459378178</v>
      </c>
      <c r="K15" s="41">
        <f t="shared" si="2"/>
        <v>1068.5996165491231</v>
      </c>
      <c r="L15" s="41">
        <f t="shared" si="2"/>
        <v>1068.5986950062329</v>
      </c>
      <c r="M15" s="41">
        <f t="shared" si="2"/>
        <v>1068.5988118102009</v>
      </c>
      <c r="N15" s="41">
        <f t="shared" si="2"/>
        <v>1068.5987970054889</v>
      </c>
      <c r="O15" s="41">
        <f t="shared" si="2"/>
        <v>1068.5987988819618</v>
      </c>
      <c r="P15" s="41">
        <f t="shared" si="2"/>
        <v>1068.5987986441219</v>
      </c>
      <c r="Q15" s="41">
        <f t="shared" si="2"/>
        <v>1068.5987986742678</v>
      </c>
      <c r="R15" s="41">
        <f t="shared" si="2"/>
        <v>1068.5987986704467</v>
      </c>
      <c r="S15" s="41">
        <f t="shared" si="2"/>
        <v>1068.598798670931</v>
      </c>
      <c r="T15" s="41">
        <f t="shared" si="2"/>
        <v>1068.5987986708697</v>
      </c>
      <c r="U15" s="41">
        <f t="shared" si="2"/>
        <v>1068.5987986708774</v>
      </c>
      <c r="V15" s="41">
        <f t="shared" si="2"/>
        <v>1068.5987986708765</v>
      </c>
      <c r="W15" s="41">
        <f t="shared" si="2"/>
        <v>1068.5987986708767</v>
      </c>
      <c r="X15" s="41">
        <f t="shared" si="2"/>
        <v>1068.5987986708765</v>
      </c>
      <c r="Y15" s="41">
        <f t="shared" si="2"/>
        <v>1068.5987986708767</v>
      </c>
      <c r="Z15" s="41">
        <f t="shared" si="2"/>
        <v>1068.5987986708765</v>
      </c>
      <c r="AA15" s="41">
        <f t="shared" si="2"/>
        <v>1068.5987986708767</v>
      </c>
      <c r="AB15" s="41">
        <f t="shared" si="2"/>
        <v>1068.5987986708765</v>
      </c>
      <c r="AC15" s="41">
        <f t="shared" si="2"/>
        <v>1068.5987986708767</v>
      </c>
    </row>
    <row r="16" spans="2:29" x14ac:dyDescent="0.2">
      <c r="B16" s="55"/>
      <c r="C16" s="41" t="s">
        <v>70</v>
      </c>
      <c r="D16" s="41"/>
      <c r="E16" s="54">
        <f>E7</f>
        <v>675.43647144747149</v>
      </c>
      <c r="F16" s="54">
        <f t="shared" ref="F16:AC16" si="3">F7</f>
        <v>1215.3085748817175</v>
      </c>
      <c r="G16" s="54">
        <f t="shared" si="3"/>
        <v>1317.7455451476487</v>
      </c>
      <c r="H16" s="54">
        <f t="shared" si="3"/>
        <v>1313.3453380222056</v>
      </c>
      <c r="I16" s="54">
        <f t="shared" si="3"/>
        <v>1313.9016126749236</v>
      </c>
      <c r="J16" s="54">
        <f t="shared" si="3"/>
        <v>1313.8310826343661</v>
      </c>
      <c r="K16" s="54">
        <f t="shared" si="3"/>
        <v>1313.8400218291481</v>
      </c>
      <c r="L16" s="54">
        <f t="shared" si="3"/>
        <v>1313.8388887949297</v>
      </c>
      <c r="M16" s="54">
        <f t="shared" si="3"/>
        <v>1313.8390324050581</v>
      </c>
      <c r="N16" s="54">
        <f t="shared" si="3"/>
        <v>1313.839014202709</v>
      </c>
      <c r="O16" s="54">
        <f t="shared" si="3"/>
        <v>1313.8390165098267</v>
      </c>
      <c r="P16" s="54">
        <f t="shared" si="3"/>
        <v>1313.8390162174032</v>
      </c>
      <c r="Q16" s="54">
        <f t="shared" si="3"/>
        <v>1313.8390162544677</v>
      </c>
      <c r="R16" s="54">
        <f t="shared" si="3"/>
        <v>1313.8390162497697</v>
      </c>
      <c r="S16" s="54">
        <f t="shared" si="3"/>
        <v>1313.8390162503651</v>
      </c>
      <c r="T16" s="54">
        <f t="shared" si="3"/>
        <v>1313.8390162502897</v>
      </c>
      <c r="U16" s="54">
        <f t="shared" si="3"/>
        <v>1313.8390162502992</v>
      </c>
      <c r="V16" s="54">
        <f t="shared" si="3"/>
        <v>1313.8390162502981</v>
      </c>
      <c r="W16" s="54">
        <f t="shared" si="3"/>
        <v>1313.8390162502983</v>
      </c>
      <c r="X16" s="54">
        <f t="shared" si="3"/>
        <v>1313.8390162502981</v>
      </c>
      <c r="Y16" s="54">
        <f t="shared" si="3"/>
        <v>1313.8390162502983</v>
      </c>
      <c r="Z16" s="54">
        <f t="shared" si="3"/>
        <v>1313.8390162502981</v>
      </c>
      <c r="AA16" s="54">
        <f t="shared" si="3"/>
        <v>1313.8390162502983</v>
      </c>
      <c r="AB16" s="54">
        <f t="shared" si="3"/>
        <v>1313.8390162502981</v>
      </c>
      <c r="AC16" s="54">
        <f t="shared" si="3"/>
        <v>1313.8390162502983</v>
      </c>
    </row>
    <row r="17" spans="2:29" x14ac:dyDescent="0.2">
      <c r="B17" s="55"/>
      <c r="C17" s="41" t="s">
        <v>71</v>
      </c>
      <c r="D17" s="41"/>
      <c r="E17" s="54">
        <f>E8</f>
        <v>641.04247671865016</v>
      </c>
      <c r="F17" s="54">
        <f t="shared" ref="F17:AC17" si="4">F8</f>
        <v>1153.4236775074367</v>
      </c>
      <c r="G17" s="54">
        <f t="shared" si="4"/>
        <v>1250.6444405291652</v>
      </c>
      <c r="H17" s="54">
        <f t="shared" si="4"/>
        <v>1246.4682969642136</v>
      </c>
      <c r="I17" s="54">
        <f t="shared" si="4"/>
        <v>1246.9962454777872</v>
      </c>
      <c r="J17" s="54">
        <f t="shared" si="4"/>
        <v>1246.929306907258</v>
      </c>
      <c r="K17" s="54">
        <f t="shared" si="4"/>
        <v>1246.9377909080561</v>
      </c>
      <c r="L17" s="54">
        <f t="shared" si="4"/>
        <v>1246.9367155692312</v>
      </c>
      <c r="M17" s="54">
        <f t="shared" si="4"/>
        <v>1246.9368518665683</v>
      </c>
      <c r="N17" s="54">
        <f t="shared" si="4"/>
        <v>1246.9368345911034</v>
      </c>
      <c r="O17" s="54">
        <f t="shared" si="4"/>
        <v>1246.9368367807401</v>
      </c>
      <c r="P17" s="54">
        <f t="shared" si="4"/>
        <v>1246.9368365032074</v>
      </c>
      <c r="Q17" s="54">
        <f t="shared" si="4"/>
        <v>1246.9368365383841</v>
      </c>
      <c r="R17" s="54">
        <f t="shared" si="4"/>
        <v>1246.9368365339255</v>
      </c>
      <c r="S17" s="54">
        <f t="shared" si="4"/>
        <v>1246.9368365344906</v>
      </c>
      <c r="T17" s="54">
        <f t="shared" si="4"/>
        <v>1246.9368365344189</v>
      </c>
      <c r="U17" s="54">
        <f t="shared" si="4"/>
        <v>1246.936836534428</v>
      </c>
      <c r="V17" s="54">
        <f t="shared" si="4"/>
        <v>1246.9368365344269</v>
      </c>
      <c r="W17" s="54">
        <f t="shared" si="4"/>
        <v>1246.9368365344271</v>
      </c>
      <c r="X17" s="54">
        <f t="shared" si="4"/>
        <v>1246.9368365344269</v>
      </c>
      <c r="Y17" s="54">
        <f t="shared" si="4"/>
        <v>1246.9368365344271</v>
      </c>
      <c r="Z17" s="54">
        <f t="shared" si="4"/>
        <v>1246.9368365344269</v>
      </c>
      <c r="AA17" s="54">
        <f t="shared" si="4"/>
        <v>1246.9368365344271</v>
      </c>
      <c r="AB17" s="54">
        <f t="shared" si="4"/>
        <v>1246.9368365344269</v>
      </c>
      <c r="AC17" s="54">
        <f t="shared" si="4"/>
        <v>1246.9368365344271</v>
      </c>
    </row>
    <row r="18" spans="2:29" x14ac:dyDescent="0.2">
      <c r="B18" s="55"/>
      <c r="C18" s="41" t="s">
        <v>77</v>
      </c>
      <c r="D18" s="41"/>
      <c r="E18" s="41">
        <f>IF('Front Braking'!$D$19&lt;'Rolling or Skidding'!E16,'Front Braking'!$D$19,E17)</f>
        <v>440.04938185876375</v>
      </c>
      <c r="F18" s="41">
        <f>IF('Front Braking'!$D$19*'Pedal Char.'!$D$10&lt;'Rolling or Skidding'!F16,'Front Braking'!$D$19*'Pedal Char.'!$D$10,F17)</f>
        <v>440.04938185876375</v>
      </c>
      <c r="G18" s="41">
        <f>IF('Front Braking'!$D$19*'Pedal Char.'!$D$10&lt;'Rolling or Skidding'!G16,'Front Braking'!$D$19*'Pedal Char.'!$D$10,G17)</f>
        <v>440.04938185876375</v>
      </c>
      <c r="H18" s="41">
        <f>IF('Front Braking'!$D$19*'Pedal Char.'!$D$11&lt;'Rolling or Skidding'!H16,'Front Braking'!$D$19*'Pedal Char.'!$D$11,H17)</f>
        <v>440.04938185876375</v>
      </c>
      <c r="I18" s="41">
        <f>IF('Front Braking'!$D$19*'Pedal Char.'!$D$11&lt;'Rolling or Skidding'!I16,'Front Braking'!$D$19*'Pedal Char.'!$D$11,I17)</f>
        <v>440.04938185876375</v>
      </c>
      <c r="J18" s="41">
        <f>IF('Front Braking'!$D$19*'Pedal Char.'!$D$11&lt;'Rolling or Skidding'!J16,'Front Braking'!$D$19*'Pedal Char.'!$D$11,J17)</f>
        <v>440.04938185876375</v>
      </c>
      <c r="K18" s="41">
        <f>IF('Front Braking'!$D$19*'Pedal Char.'!$D$11&lt;'Rolling or Skidding'!K16,'Front Braking'!$D$19*'Pedal Char.'!$D$11,K17)</f>
        <v>440.04938185876375</v>
      </c>
      <c r="L18" s="41">
        <f>IF('Front Braking'!$D$19*'Pedal Char.'!$D$11&lt;'Rolling or Skidding'!L16,'Front Braking'!$D$19*'Pedal Char.'!$D$11,L17)</f>
        <v>440.04938185876375</v>
      </c>
      <c r="M18" s="41">
        <f>IF('Front Braking'!$D$19*'Pedal Char.'!$D$11&lt;'Rolling or Skidding'!M16,'Front Braking'!$D$19*'Pedal Char.'!$D$11,M17)</f>
        <v>440.04938185876375</v>
      </c>
      <c r="N18" s="41">
        <f>IF('Front Braking'!$D$19*'Pedal Char.'!$D$11&lt;'Rolling or Skidding'!N16,'Front Braking'!$D$19*'Pedal Char.'!$D$11,N17)</f>
        <v>440.04938185876375</v>
      </c>
      <c r="O18" s="41">
        <f>IF('Front Braking'!$D$19*'Pedal Char.'!$D$11&lt;'Rolling or Skidding'!O16,'Front Braking'!$D$19*'Pedal Char.'!$D$11,O17)</f>
        <v>440.04938185876375</v>
      </c>
      <c r="P18" s="41">
        <f>IF('Front Braking'!$D$19*'Pedal Char.'!$D$11&lt;'Rolling or Skidding'!P16,'Front Braking'!$D$19*'Pedal Char.'!$D$11,P17)</f>
        <v>440.04938185876375</v>
      </c>
      <c r="Q18" s="41">
        <f>IF('Front Braking'!$D$19*'Pedal Char.'!$D$11&lt;'Rolling or Skidding'!Q16,'Front Braking'!$D$19*'Pedal Char.'!$D$11,Q17)</f>
        <v>440.04938185876375</v>
      </c>
      <c r="R18" s="41">
        <f>IF('Front Braking'!$D$19*'Pedal Char.'!$D$11&lt;'Rolling or Skidding'!R16,'Front Braking'!$D$19*'Pedal Char.'!$D$11,R17)</f>
        <v>440.04938185876375</v>
      </c>
      <c r="S18" s="41">
        <f>IF('Front Braking'!$D$19*'Pedal Char.'!$D$11&lt;'Rolling or Skidding'!S16,'Front Braking'!$D$19*'Pedal Char.'!$D$11,S17)</f>
        <v>440.04938185876375</v>
      </c>
      <c r="T18" s="41">
        <f>IF('Front Braking'!$D$19*'Pedal Char.'!$D$11&lt;'Rolling or Skidding'!T16,'Front Braking'!$D$19*'Pedal Char.'!$D$11,T17)</f>
        <v>440.04938185876375</v>
      </c>
      <c r="U18" s="41">
        <f>IF('Front Braking'!$D$19*'Pedal Char.'!$D$11&lt;'Rolling or Skidding'!U16,'Front Braking'!$D$19*'Pedal Char.'!$D$11,U17)</f>
        <v>440.04938185876375</v>
      </c>
      <c r="V18" s="41">
        <f>IF('Front Braking'!$D$19*'Pedal Char.'!$D$11&lt;'Rolling or Skidding'!V16,'Front Braking'!$D$19*'Pedal Char.'!$D$11,V17)</f>
        <v>440.04938185876375</v>
      </c>
      <c r="W18" s="41">
        <f>IF('Front Braking'!$D$19*'Pedal Char.'!$D$11&lt;'Rolling or Skidding'!W16,'Front Braking'!$D$19*'Pedal Char.'!$D$11,W17)</f>
        <v>440.04938185876375</v>
      </c>
      <c r="X18" s="41">
        <f>IF('Front Braking'!$D$19*'Pedal Char.'!$D$11&lt;'Rolling or Skidding'!X16,'Front Braking'!$D$19*'Pedal Char.'!$D$11,X17)</f>
        <v>440.04938185876375</v>
      </c>
      <c r="Y18" s="41">
        <f>IF('Front Braking'!$D$19*'Pedal Char.'!$D$11&lt;'Rolling or Skidding'!Y16,'Front Braking'!$D$19*'Pedal Char.'!$D$11,Y17)</f>
        <v>440.04938185876375</v>
      </c>
      <c r="Z18" s="41">
        <f>IF('Front Braking'!$D$19*'Pedal Char.'!$D$11&lt;'Rolling or Skidding'!Z16,'Front Braking'!$D$19*'Pedal Char.'!$D$11,Z17)</f>
        <v>440.04938185876375</v>
      </c>
      <c r="AA18" s="41">
        <f>IF('Front Braking'!$D$19*'Pedal Char.'!$D$11&lt;'Rolling or Skidding'!AA16,'Front Braking'!$D$19*'Pedal Char.'!$D$11,AA17)</f>
        <v>440.04938185876375</v>
      </c>
      <c r="AB18" s="41">
        <f>IF('Front Braking'!$D$19*'Pedal Char.'!$D$11&lt;'Rolling or Skidding'!AB16,'Front Braking'!$D$19*'Pedal Char.'!$D$11,AB17)</f>
        <v>440.04938185876375</v>
      </c>
      <c r="AC18" s="41">
        <f>IF('Front Braking'!$D$19*'Pedal Char.'!$D$11&lt;'Rolling or Skidding'!AC16,'Front Braking'!$D$19*'Pedal Char.'!$D$11,AC17)</f>
        <v>440.04938185876375</v>
      </c>
    </row>
    <row r="19" spans="2:29" x14ac:dyDescent="0.2">
      <c r="B19" s="55"/>
      <c r="C19" s="41" t="s">
        <v>158</v>
      </c>
      <c r="D19" s="41"/>
      <c r="E19" s="41" t="str">
        <f>IF('Front Braking'!$D$19&gt;'Rolling or Skidding'!E16, "SKIDDING","Rolling")</f>
        <v>Rolling</v>
      </c>
      <c r="F19" s="41" t="str">
        <f>IF('Front Braking'!$D$19*'Pedal Char.'!$D$10&gt;'Rolling or Skidding'!F16, "SKIDDING","Rolling")</f>
        <v>Rolling</v>
      </c>
      <c r="G19" s="41" t="str">
        <f>IF('Front Braking'!$D$19*'Pedal Char.'!$D$10&gt;'Rolling or Skidding'!G16, "SKIDDING","Rolling")</f>
        <v>Rolling</v>
      </c>
      <c r="H19" s="41" t="str">
        <f>IF('Front Braking'!$D$19*'Pedal Char.'!$D$11&gt;'Rolling or Skidding'!H16, "SKIDDING","Rolling")</f>
        <v>Rolling</v>
      </c>
      <c r="I19" s="41" t="str">
        <f>IF('Front Braking'!$D$19*'Pedal Char.'!$D$11&gt;'Rolling or Skidding'!I16, "SKIDDING","Rolling")</f>
        <v>Rolling</v>
      </c>
      <c r="J19" s="41" t="str">
        <f>IF('Front Braking'!$D$19*'Pedal Char.'!$D$11&gt;'Rolling or Skidding'!J16, "SKIDDING","Rolling")</f>
        <v>Rolling</v>
      </c>
      <c r="K19" s="41" t="str">
        <f>IF('Front Braking'!$D$19*'Pedal Char.'!$D$11&gt;'Rolling or Skidding'!K16, "SKIDDING","Rolling")</f>
        <v>Rolling</v>
      </c>
      <c r="L19" s="41" t="str">
        <f>IF('Front Braking'!$D$19*'Pedal Char.'!$D$11&gt;'Rolling or Skidding'!L16, "SKIDDING","Rolling")</f>
        <v>Rolling</v>
      </c>
      <c r="M19" s="41" t="str">
        <f>IF('Front Braking'!$D$19*'Pedal Char.'!$D$11&gt;'Rolling or Skidding'!M16, "SKIDDING","Rolling")</f>
        <v>Rolling</v>
      </c>
      <c r="N19" s="41" t="str">
        <f>IF('Front Braking'!$D$19*'Pedal Char.'!$D$11&gt;'Rolling or Skidding'!N16, "SKIDDING","Rolling")</f>
        <v>Rolling</v>
      </c>
      <c r="O19" s="41" t="str">
        <f>IF('Front Braking'!$D$19*'Pedal Char.'!$D$11&gt;'Rolling or Skidding'!O16, "SKIDDING","Rolling")</f>
        <v>Rolling</v>
      </c>
      <c r="P19" s="41" t="str">
        <f>IF('Front Braking'!$D$19*'Pedal Char.'!$D$11&gt;'Rolling or Skidding'!P16, "SKIDDING","Rolling")</f>
        <v>Rolling</v>
      </c>
      <c r="Q19" s="41" t="str">
        <f>IF('Front Braking'!$D$19*'Pedal Char.'!$D$11&gt;'Rolling or Skidding'!Q16, "SKIDDING","Rolling")</f>
        <v>Rolling</v>
      </c>
      <c r="R19" s="41" t="str">
        <f>IF('Front Braking'!$D$19*'Pedal Char.'!$D$11&gt;'Rolling or Skidding'!R16, "SKIDDING","Rolling")</f>
        <v>Rolling</v>
      </c>
      <c r="S19" s="41" t="str">
        <f>IF('Front Braking'!$D$19*'Pedal Char.'!$D$11&gt;'Rolling or Skidding'!S16, "SKIDDING","Rolling")</f>
        <v>Rolling</v>
      </c>
      <c r="T19" s="41" t="str">
        <f>IF('Front Braking'!$D$19*'Pedal Char.'!$D$11&gt;'Rolling or Skidding'!T16, "SKIDDING","Rolling")</f>
        <v>Rolling</v>
      </c>
      <c r="U19" s="41" t="str">
        <f>IF('Front Braking'!$D$19*'Pedal Char.'!$D$11&gt;'Rolling or Skidding'!U16, "SKIDDING","Rolling")</f>
        <v>Rolling</v>
      </c>
      <c r="V19" s="41" t="str">
        <f>IF('Front Braking'!$D$19*'Pedal Char.'!$D$11&gt;'Rolling or Skidding'!V16, "SKIDDING","Rolling")</f>
        <v>Rolling</v>
      </c>
      <c r="W19" s="41" t="str">
        <f>IF('Front Braking'!$D$19*'Pedal Char.'!$D$11&gt;'Rolling or Skidding'!W16, "SKIDDING","Rolling")</f>
        <v>Rolling</v>
      </c>
      <c r="X19" s="41" t="str">
        <f>IF('Front Braking'!$D$19*'Pedal Char.'!$D$11&gt;'Rolling or Skidding'!X16, "SKIDDING","Rolling")</f>
        <v>Rolling</v>
      </c>
      <c r="Y19" s="41" t="str">
        <f>IF('Front Braking'!$D$19*'Pedal Char.'!$D$11&gt;'Rolling or Skidding'!Y16, "SKIDDING","Rolling")</f>
        <v>Rolling</v>
      </c>
      <c r="Z19" s="41" t="str">
        <f>IF('Front Braking'!$D$19*'Pedal Char.'!$D$11&gt;'Rolling or Skidding'!Z16, "SKIDDING","Rolling")</f>
        <v>Rolling</v>
      </c>
      <c r="AA19" s="41" t="str">
        <f>IF('Front Braking'!$D$19*'Pedal Char.'!$D$11&gt;'Rolling or Skidding'!AA16, "SKIDDING","Rolling")</f>
        <v>Rolling</v>
      </c>
      <c r="AB19" s="41" t="str">
        <f>IF('Front Braking'!$D$19*'Pedal Char.'!$D$11&gt;'Rolling or Skidding'!AB16, "SKIDDING","Rolling")</f>
        <v>Rolling</v>
      </c>
      <c r="AC19" s="41" t="str">
        <f>IF('Front Braking'!$D$19*'Pedal Char.'!$D$11&gt;'Rolling or Skidding'!AC16, "SKIDDING","Rolling")</f>
        <v>Rolling</v>
      </c>
    </row>
    <row r="20" spans="2:29" x14ac:dyDescent="0.2">
      <c r="B20" s="55"/>
      <c r="C20" s="41" t="s">
        <v>74</v>
      </c>
      <c r="D20" s="41"/>
      <c r="E20" s="41">
        <f t="shared" ref="E20:J20" si="5">E18/E15</f>
        <v>0.80102188338933256</v>
      </c>
      <c r="F20" s="41">
        <f t="shared" si="5"/>
        <v>0.44518684855108215</v>
      </c>
      <c r="G20" s="41">
        <f t="shared" si="5"/>
        <v>0.41057956633659293</v>
      </c>
      <c r="H20" s="41">
        <f t="shared" si="5"/>
        <v>0.4119551642703978</v>
      </c>
      <c r="I20" s="41">
        <f t="shared" si="5"/>
        <v>0.41178075226440791</v>
      </c>
      <c r="J20" s="41">
        <f t="shared" si="5"/>
        <v>0.41180285777975295</v>
      </c>
      <c r="K20" s="41">
        <f t="shared" ref="K20:AC20" si="6">K18/K15</f>
        <v>0.41180005592724717</v>
      </c>
      <c r="L20" s="41">
        <f t="shared" si="6"/>
        <v>0.41180041105720894</v>
      </c>
      <c r="M20" s="41">
        <f t="shared" si="6"/>
        <v>0.41180036604506637</v>
      </c>
      <c r="N20" s="41">
        <f t="shared" si="6"/>
        <v>0.41180037175028134</v>
      </c>
      <c r="O20" s="41">
        <f t="shared" si="6"/>
        <v>0.41180037102715472</v>
      </c>
      <c r="P20" s="41">
        <f t="shared" si="6"/>
        <v>0.41180037111880985</v>
      </c>
      <c r="Q20" s="41">
        <f t="shared" si="6"/>
        <v>0.4118003711071927</v>
      </c>
      <c r="R20" s="41">
        <f t="shared" si="6"/>
        <v>0.41180037110866519</v>
      </c>
      <c r="S20" s="41">
        <f t="shared" si="6"/>
        <v>0.41180037110847856</v>
      </c>
      <c r="T20" s="41">
        <f t="shared" si="6"/>
        <v>0.41180037110850221</v>
      </c>
      <c r="U20" s="41">
        <f t="shared" si="6"/>
        <v>0.41180037110849921</v>
      </c>
      <c r="V20" s="41">
        <f t="shared" si="6"/>
        <v>0.4118003711084996</v>
      </c>
      <c r="W20" s="41">
        <f t="shared" si="6"/>
        <v>0.41180037110849949</v>
      </c>
      <c r="X20" s="41">
        <f t="shared" si="6"/>
        <v>0.4118003711084996</v>
      </c>
      <c r="Y20" s="41">
        <f t="shared" si="6"/>
        <v>0.41180037110849949</v>
      </c>
      <c r="Z20" s="41">
        <f t="shared" si="6"/>
        <v>0.4118003711084996</v>
      </c>
      <c r="AA20" s="41">
        <f t="shared" si="6"/>
        <v>0.41180037110849949</v>
      </c>
      <c r="AB20" s="41">
        <f t="shared" si="6"/>
        <v>0.4118003711084996</v>
      </c>
      <c r="AC20" s="41">
        <f t="shared" si="6"/>
        <v>0.41180037110849949</v>
      </c>
    </row>
    <row r="21" spans="2:29" x14ac:dyDescent="0.2">
      <c r="B21" s="55"/>
      <c r="C21" s="41" t="s">
        <v>160</v>
      </c>
      <c r="D21" s="41"/>
      <c r="E21" s="54">
        <f>IF((E16-'Front Braking'!$D$19)&lt;0,0,E16-'Front Braking'!$D$19)</f>
        <v>235.38708958870774</v>
      </c>
      <c r="F21" s="54">
        <f>IF((F16-'Front Braking'!$D$19*'Pedal Char.'!$D$10)&lt;0,0,F16-'Front Braking'!$D$19*'Pedal Char.'!$D$10)</f>
        <v>775.2591930229537</v>
      </c>
      <c r="G21" s="54">
        <f>IF((G16-'Front Braking'!$D$19*'Pedal Char.'!$D$10)&lt;0,0,G16-'Front Braking'!$D$19*'Pedal Char.'!$D$10)</f>
        <v>877.69616328888492</v>
      </c>
      <c r="H21" s="54">
        <f>IF((H16-'Front Braking'!$D$19*'Pedal Char.'!$D$11)&lt;0,0,H16-'Front Braking'!$D$19*'Pedal Char.'!$D$11)</f>
        <v>873.29595616344182</v>
      </c>
      <c r="I21" s="54">
        <f>IF((I16-'Front Braking'!$D$19*'Pedal Char.'!$D$11)&lt;0,0,I16-'Front Braking'!$D$19*'Pedal Char.'!$D$11)</f>
        <v>873.85223081615982</v>
      </c>
      <c r="J21" s="54">
        <f>IF((J16-'Front Braking'!$D$19*'Pedal Char.'!$D$11)&lt;0,0,J16-'Front Braking'!$D$19*'Pedal Char.'!$D$11)</f>
        <v>873.7817007756023</v>
      </c>
      <c r="K21" s="54">
        <f>IF((K16-'Front Braking'!$D$19*'Pedal Char.'!$D$11)&lt;0,0,K16-'Front Braking'!$D$19*'Pedal Char.'!$D$11)</f>
        <v>873.79063997038429</v>
      </c>
      <c r="L21" s="54">
        <f>IF((L16-'Front Braking'!$D$19*'Pedal Char.'!$D$11)&lt;0,0,L16-'Front Braking'!$D$19*'Pedal Char.'!$D$11)</f>
        <v>873.78950693616594</v>
      </c>
      <c r="M21" s="54">
        <f>IF((M16-'Front Braking'!$D$19*'Pedal Char.'!$D$11)&lt;0,0,M16-'Front Braking'!$D$19*'Pedal Char.'!$D$11)</f>
        <v>873.7896505462943</v>
      </c>
      <c r="N21" s="54">
        <f>IF((N16-'Front Braking'!$D$19*'Pedal Char.'!$D$11)&lt;0,0,N16-'Front Braking'!$D$19*'Pedal Char.'!$D$11)</f>
        <v>873.78963234394519</v>
      </c>
      <c r="O21" s="54">
        <f>IF((O16-'Front Braking'!$D$19*'Pedal Char.'!$D$11)&lt;0,0,O16-'Front Braking'!$D$19*'Pedal Char.'!$D$11)</f>
        <v>873.7896346510629</v>
      </c>
      <c r="P21" s="54">
        <f>IF((P16-'Front Braking'!$D$19*'Pedal Char.'!$D$11)&lt;0,0,P16-'Front Braking'!$D$19*'Pedal Char.'!$D$11)</f>
        <v>873.78963435863943</v>
      </c>
      <c r="Q21" s="54">
        <f>IF((Q16-'Front Braking'!$D$19*'Pedal Char.'!$D$11)&lt;0,0,Q16-'Front Braking'!$D$19*'Pedal Char.'!$D$11)</f>
        <v>873.78963439570384</v>
      </c>
      <c r="R21" s="54">
        <f>IF((R16-'Front Braking'!$D$19*'Pedal Char.'!$D$11)&lt;0,0,R16-'Front Braking'!$D$19*'Pedal Char.'!$D$11)</f>
        <v>873.78963439100585</v>
      </c>
      <c r="S21" s="54">
        <f>IF((S16-'Front Braking'!$D$19*'Pedal Char.'!$D$11)&lt;0,0,S16-'Front Braking'!$D$19*'Pedal Char.'!$D$11)</f>
        <v>873.78963439160134</v>
      </c>
      <c r="T21" s="54">
        <f>IF((T16-'Front Braking'!$D$19*'Pedal Char.'!$D$11)&lt;0,0,T16-'Front Braking'!$D$19*'Pedal Char.'!$D$11)</f>
        <v>873.78963439152585</v>
      </c>
      <c r="U21" s="54">
        <f>IF((U16-'Front Braking'!$D$19*'Pedal Char.'!$D$11)&lt;0,0,U16-'Front Braking'!$D$19*'Pedal Char.'!$D$11)</f>
        <v>873.7896343915354</v>
      </c>
      <c r="V21" s="54">
        <f>IF((V16-'Front Braking'!$D$19*'Pedal Char.'!$D$11)&lt;0,0,V16-'Front Braking'!$D$19*'Pedal Char.'!$D$11)</f>
        <v>873.78963439153426</v>
      </c>
      <c r="W21" s="54">
        <f>IF((W16-'Front Braking'!$D$19*'Pedal Char.'!$D$11)&lt;0,0,W16-'Front Braking'!$D$19*'Pedal Char.'!$D$11)</f>
        <v>873.78963439153449</v>
      </c>
      <c r="X21" s="54">
        <f>IF((X16-'Front Braking'!$D$19*'Pedal Char.'!$D$11)&lt;0,0,X16-'Front Braking'!$D$19*'Pedal Char.'!$D$11)</f>
        <v>873.78963439153426</v>
      </c>
      <c r="Y21" s="54">
        <f>IF((Y16-'Front Braking'!$D$19*'Pedal Char.'!$D$11)&lt;0,0,Y16-'Front Braking'!$D$19*'Pedal Char.'!$D$11)</f>
        <v>873.78963439153449</v>
      </c>
      <c r="Z21" s="54">
        <f>IF((Z16-'Front Braking'!$D$19*'Pedal Char.'!$D$11)&lt;0,0,Z16-'Front Braking'!$D$19*'Pedal Char.'!$D$11)</f>
        <v>873.78963439153426</v>
      </c>
      <c r="AA21" s="54">
        <f>IF((AA16-'Front Braking'!$D$19*'Pedal Char.'!$D$11)&lt;0,0,AA16-'Front Braking'!$D$19*'Pedal Char.'!$D$11)</f>
        <v>873.78963439153449</v>
      </c>
      <c r="AB21" s="54">
        <f>IF((AB16-'Front Braking'!$D$19*'Pedal Char.'!$D$11)&lt;0,0,AB16-'Front Braking'!$D$19*'Pedal Char.'!$D$11)</f>
        <v>873.78963439153426</v>
      </c>
      <c r="AC21" s="54">
        <f>IF((AC16-'Front Braking'!$D$19*'Pedal Char.'!$D$11)&lt;0,0,AC16-'Front Braking'!$D$19*'Pedal Char.'!$D$11)</f>
        <v>873.78963439153449</v>
      </c>
    </row>
    <row r="22" spans="2:29" x14ac:dyDescent="0.2">
      <c r="B22" s="55"/>
      <c r="C22" s="41" t="s">
        <v>161</v>
      </c>
      <c r="D22" s="41"/>
      <c r="E22" s="54">
        <f>AVERAGE(N21:AC21)</f>
        <v>873.78963427795588</v>
      </c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</row>
    <row r="23" spans="2:29" x14ac:dyDescent="0.2">
      <c r="B23" s="55" t="s">
        <v>68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</row>
    <row r="24" spans="2:29" x14ac:dyDescent="0.2">
      <c r="B24" s="55"/>
      <c r="C24" s="41" t="s">
        <v>72</v>
      </c>
      <c r="D24" s="41"/>
      <c r="E24" s="41">
        <f>'Veh. Parameters'!E15</f>
        <v>824.04000000000008</v>
      </c>
      <c r="F24" s="41">
        <f t="shared" ref="F24:AC24" si="7">$E$24-E$48</f>
        <v>384.94002349583997</v>
      </c>
      <c r="G24" s="41">
        <f t="shared" si="7"/>
        <v>301.62386222208772</v>
      </c>
      <c r="H24" s="41">
        <f t="shared" si="7"/>
        <v>305.20272994484037</v>
      </c>
      <c r="I24" s="41">
        <f t="shared" si="7"/>
        <v>304.75028910675201</v>
      </c>
      <c r="J24" s="41">
        <f t="shared" si="7"/>
        <v>304.80765406218222</v>
      </c>
      <c r="K24" s="41">
        <f t="shared" si="7"/>
        <v>304.80038345087701</v>
      </c>
      <c r="L24" s="41">
        <f t="shared" si="7"/>
        <v>304.8013049937673</v>
      </c>
      <c r="M24" s="41">
        <f t="shared" si="7"/>
        <v>304.80118818979906</v>
      </c>
      <c r="N24" s="41">
        <f t="shared" si="7"/>
        <v>304.80120299451119</v>
      </c>
      <c r="O24" s="41">
        <f t="shared" si="7"/>
        <v>304.80120111803831</v>
      </c>
      <c r="P24" s="41">
        <f t="shared" si="7"/>
        <v>304.80120135587822</v>
      </c>
      <c r="Q24" s="41">
        <f t="shared" si="7"/>
        <v>304.80120132573234</v>
      </c>
      <c r="R24" s="41">
        <f t="shared" si="7"/>
        <v>304.80120132955335</v>
      </c>
      <c r="S24" s="41">
        <f t="shared" si="7"/>
        <v>304.80120132906893</v>
      </c>
      <c r="T24" s="41">
        <f t="shared" si="7"/>
        <v>304.80120132913032</v>
      </c>
      <c r="U24" s="41">
        <f t="shared" si="7"/>
        <v>304.8012013291227</v>
      </c>
      <c r="V24" s="41">
        <f t="shared" si="7"/>
        <v>304.80120132912373</v>
      </c>
      <c r="W24" s="41">
        <f t="shared" si="7"/>
        <v>304.80120132912339</v>
      </c>
      <c r="X24" s="41">
        <f t="shared" si="7"/>
        <v>304.80120132912361</v>
      </c>
      <c r="Y24" s="41">
        <f t="shared" si="7"/>
        <v>304.80120132912339</v>
      </c>
      <c r="Z24" s="41">
        <f t="shared" si="7"/>
        <v>304.80120132912361</v>
      </c>
      <c r="AA24" s="41">
        <f t="shared" si="7"/>
        <v>304.80120132912339</v>
      </c>
      <c r="AB24" s="41">
        <f t="shared" si="7"/>
        <v>304.80120132912361</v>
      </c>
      <c r="AC24" s="41">
        <f t="shared" si="7"/>
        <v>304.80120132912339</v>
      </c>
    </row>
    <row r="25" spans="2:29" x14ac:dyDescent="0.2">
      <c r="B25" s="55"/>
      <c r="C25" s="41" t="s">
        <v>70</v>
      </c>
      <c r="D25" s="41"/>
      <c r="E25" s="54">
        <f>'TYRE-PACEJKA'!B63</f>
        <v>1013.1547071712074</v>
      </c>
      <c r="F25" s="54">
        <f>'TYRE-PACEJKA'!C63</f>
        <v>473.28260373696105</v>
      </c>
      <c r="G25" s="54">
        <f>'TYRE-PACEJKA'!D63</f>
        <v>370.84563347103034</v>
      </c>
      <c r="H25" s="54">
        <f>'TYRE-PACEJKA'!E63</f>
        <v>375.24584059647322</v>
      </c>
      <c r="I25" s="54">
        <f>'TYRE-PACEJKA'!F63</f>
        <v>374.68956594375521</v>
      </c>
      <c r="J25" s="54">
        <f>'TYRE-PACEJKA'!G63</f>
        <v>374.76009598431244</v>
      </c>
      <c r="K25" s="54">
        <f>'TYRE-PACEJKA'!H63</f>
        <v>374.75115678953085</v>
      </c>
      <c r="L25" s="54">
        <f>'TYRE-PACEJKA'!I63</f>
        <v>374.75228982374904</v>
      </c>
      <c r="M25" s="54">
        <f>'TYRE-PACEJKA'!J63</f>
        <v>374.75214621362056</v>
      </c>
      <c r="N25" s="54">
        <f>'TYRE-PACEJKA'!K63</f>
        <v>374.75216441596967</v>
      </c>
      <c r="O25" s="54">
        <f>'TYRE-PACEJKA'!L63</f>
        <v>374.75216210885191</v>
      </c>
      <c r="P25" s="54">
        <f>'TYRE-PACEJKA'!M63</f>
        <v>374.75216240127537</v>
      </c>
      <c r="Q25" s="54">
        <f>'TYRE-PACEJKA'!N63</f>
        <v>374.75216236421107</v>
      </c>
      <c r="R25" s="54">
        <f>'TYRE-PACEJKA'!O63</f>
        <v>374.75216236890901</v>
      </c>
      <c r="S25" s="54">
        <f>'TYRE-PACEJKA'!P63</f>
        <v>374.75216236831346</v>
      </c>
      <c r="T25" s="54">
        <f>'TYRE-PACEJKA'!Q63</f>
        <v>374.75216236838889</v>
      </c>
      <c r="U25" s="54">
        <f>'TYRE-PACEJKA'!R63</f>
        <v>374.75216236837952</v>
      </c>
      <c r="V25" s="54">
        <f>'TYRE-PACEJKA'!S63</f>
        <v>374.75216236838082</v>
      </c>
      <c r="W25" s="54">
        <f>'TYRE-PACEJKA'!T63</f>
        <v>374.75216236838037</v>
      </c>
      <c r="X25" s="54">
        <f>'TYRE-PACEJKA'!U63</f>
        <v>374.75216236838065</v>
      </c>
      <c r="Y25" s="54">
        <f>'TYRE-PACEJKA'!V63</f>
        <v>374.75216236838037</v>
      </c>
      <c r="Z25" s="54">
        <f>'TYRE-PACEJKA'!W63</f>
        <v>374.75216236838065</v>
      </c>
      <c r="AA25" s="54">
        <f>'TYRE-PACEJKA'!X63</f>
        <v>374.75216236838037</v>
      </c>
      <c r="AB25" s="54">
        <f>'TYRE-PACEJKA'!Y63</f>
        <v>374.75216236838065</v>
      </c>
      <c r="AC25" s="54">
        <f>'TYRE-PACEJKA'!Z63</f>
        <v>374.75216236838037</v>
      </c>
    </row>
    <row r="26" spans="2:29" x14ac:dyDescent="0.2">
      <c r="B26" s="55"/>
      <c r="C26" s="41" t="s">
        <v>71</v>
      </c>
      <c r="D26" s="41"/>
      <c r="E26" s="54">
        <f>'TYRE-PACEJKA'!B82</f>
        <v>961.5637150779753</v>
      </c>
      <c r="F26" s="54">
        <f>'TYRE-PACEJKA'!C82</f>
        <v>449.18251428918853</v>
      </c>
      <c r="G26" s="54">
        <f>'TYRE-PACEJKA'!D82</f>
        <v>351.96175126746033</v>
      </c>
      <c r="H26" s="54">
        <f>'TYRE-PACEJKA'!E82</f>
        <v>356.13789483241192</v>
      </c>
      <c r="I26" s="54">
        <f>'TYRE-PACEJKA'!F82</f>
        <v>355.60994631883824</v>
      </c>
      <c r="J26" s="54">
        <f>'TYRE-PACEJKA'!G82</f>
        <v>355.67688488936727</v>
      </c>
      <c r="K26" s="54">
        <f>'TYRE-PACEJKA'!H82</f>
        <v>355.66840088856935</v>
      </c>
      <c r="L26" s="54">
        <f>'TYRE-PACEJKA'!I82</f>
        <v>355.66947622739417</v>
      </c>
      <c r="M26" s="54">
        <f>'TYRE-PACEJKA'!J82</f>
        <v>355.66933993005705</v>
      </c>
      <c r="N26" s="54">
        <f>'TYRE-PACEJKA'!K82</f>
        <v>355.66935720552186</v>
      </c>
      <c r="O26" s="54">
        <f>'TYRE-PACEJKA'!L82</f>
        <v>355.66935501588512</v>
      </c>
      <c r="P26" s="54">
        <f>'TYRE-PACEJKA'!M82</f>
        <v>355.66935529341811</v>
      </c>
      <c r="Q26" s="54">
        <f>'TYRE-PACEJKA'!N82</f>
        <v>355.66935525824113</v>
      </c>
      <c r="R26" s="54">
        <f>'TYRE-PACEJKA'!O82</f>
        <v>355.66935526269987</v>
      </c>
      <c r="S26" s="54">
        <f>'TYRE-PACEJKA'!P82</f>
        <v>355.66935526213462</v>
      </c>
      <c r="T26" s="54">
        <f>'TYRE-PACEJKA'!Q82</f>
        <v>355.66935526220618</v>
      </c>
      <c r="U26" s="54">
        <f>'TYRE-PACEJKA'!R82</f>
        <v>355.66935526219731</v>
      </c>
      <c r="V26" s="54">
        <f>'TYRE-PACEJKA'!S82</f>
        <v>355.66935526219856</v>
      </c>
      <c r="W26" s="54">
        <f>'TYRE-PACEJKA'!T82</f>
        <v>355.66935526219811</v>
      </c>
      <c r="X26" s="54">
        <f>'TYRE-PACEJKA'!U82</f>
        <v>355.66935526219839</v>
      </c>
      <c r="Y26" s="54">
        <f>'TYRE-PACEJKA'!V82</f>
        <v>355.66935526219811</v>
      </c>
      <c r="Z26" s="54">
        <f>'TYRE-PACEJKA'!W82</f>
        <v>355.66935526219839</v>
      </c>
      <c r="AA26" s="54">
        <f>'TYRE-PACEJKA'!X82</f>
        <v>355.66935526219811</v>
      </c>
      <c r="AB26" s="54">
        <f>'TYRE-PACEJKA'!Y82</f>
        <v>355.66935526219839</v>
      </c>
      <c r="AC26" s="54">
        <f>'TYRE-PACEJKA'!Z82</f>
        <v>355.66935526219811</v>
      </c>
    </row>
    <row r="27" spans="2:29" x14ac:dyDescent="0.2">
      <c r="B27" s="55"/>
      <c r="C27" s="41" t="s">
        <v>77</v>
      </c>
      <c r="D27" s="41"/>
      <c r="E27" s="41">
        <f>IF('Rear Braking'!$D$19&lt;'Rolling or Skidding'!E25,'Rear Braking'!$D$19,E26)</f>
        <v>440.04938185876375</v>
      </c>
      <c r="F27" s="41">
        <f>IF('Rear Braking'!$D$19*'Pedal Char.'!$D$10&lt;'Rolling or Skidding'!F25,'Rear Braking'!$D$19*'Pedal Char.'!$D$10,F26)</f>
        <v>440.04938185876375</v>
      </c>
      <c r="G27" s="41">
        <f>IF('Rear Braking'!$D$19*'Pedal Char.'!$D$10&lt;'Rolling or Skidding'!G25,'Rear Braking'!$D$19*'Pedal Char.'!$D$10,G26)</f>
        <v>351.96175126746033</v>
      </c>
      <c r="H27" s="41">
        <f>IF('Rear Braking'!$D$19*'Pedal Char.'!$D$11&lt;'Rolling or Skidding'!H25,'Rear Braking'!$D$19*'Pedal Char.'!$D$11,H26)</f>
        <v>356.13789483241192</v>
      </c>
      <c r="I27" s="41">
        <f>IF('Rear Braking'!$D$19*'Pedal Char.'!$D$11&lt;'Rolling or Skidding'!I25,'Rear Braking'!$D$19*'Pedal Char.'!$D$11,I26)</f>
        <v>355.60994631883824</v>
      </c>
      <c r="J27" s="41">
        <f>IF('Rear Braking'!$D$19*'Pedal Char.'!$D$11&lt;'Rolling or Skidding'!J25,'Rear Braking'!$D$19*'Pedal Char.'!$D$11,J26)</f>
        <v>355.67688488936727</v>
      </c>
      <c r="K27" s="41">
        <f>IF('Rear Braking'!$D$19*'Pedal Char.'!$D$11&lt;'Rolling or Skidding'!K25,'Rear Braking'!$D$19*'Pedal Char.'!$D$11,K26)</f>
        <v>355.66840088856935</v>
      </c>
      <c r="L27" s="41">
        <f>IF('Rear Braking'!$D$19*'Pedal Char.'!$D$11&lt;'Rolling or Skidding'!L25,'Rear Braking'!$D$19*'Pedal Char.'!$D$11,L26)</f>
        <v>355.66947622739417</v>
      </c>
      <c r="M27" s="41">
        <f>IF('Rear Braking'!$D$19*'Pedal Char.'!$D$11&lt;'Rolling or Skidding'!M25,'Rear Braking'!$D$19*'Pedal Char.'!$D$11,M26)</f>
        <v>355.66933993005705</v>
      </c>
      <c r="N27" s="41">
        <f>IF('Rear Braking'!$D$19*'Pedal Char.'!$D$11&lt;'Rolling or Skidding'!N25,'Rear Braking'!$D$19*'Pedal Char.'!$D$11,N26)</f>
        <v>355.66935720552186</v>
      </c>
      <c r="O27" s="41">
        <f>IF('Rear Braking'!$D$19*'Pedal Char.'!$D$11&lt;'Rolling or Skidding'!O25,'Rear Braking'!$D$19*'Pedal Char.'!$D$11,O26)</f>
        <v>355.66935501588512</v>
      </c>
      <c r="P27" s="41">
        <f>IF('Rear Braking'!$D$19*'Pedal Char.'!$D$11&lt;'Rolling or Skidding'!P25,'Rear Braking'!$D$19*'Pedal Char.'!$D$11,P26)</f>
        <v>355.66935529341811</v>
      </c>
      <c r="Q27" s="41">
        <f>IF('Rear Braking'!$D$19*'Pedal Char.'!$D$11&lt;'Rolling or Skidding'!Q25,'Rear Braking'!$D$19*'Pedal Char.'!$D$11,Q26)</f>
        <v>355.66935525824113</v>
      </c>
      <c r="R27" s="41">
        <f>IF('Rear Braking'!$D$19*'Pedal Char.'!$D$11&lt;'Rolling or Skidding'!R25,'Rear Braking'!$D$19*'Pedal Char.'!$D$11,R26)</f>
        <v>355.66935526269987</v>
      </c>
      <c r="S27" s="41">
        <f>IF('Rear Braking'!$D$19*'Pedal Char.'!$D$11&lt;'Rolling or Skidding'!S25,'Rear Braking'!$D$19*'Pedal Char.'!$D$11,S26)</f>
        <v>355.66935526213462</v>
      </c>
      <c r="T27" s="41">
        <f>IF('Rear Braking'!$D$19*'Pedal Char.'!$D$11&lt;'Rolling or Skidding'!T25,'Rear Braking'!$D$19*'Pedal Char.'!$D$11,T26)</f>
        <v>355.66935526220618</v>
      </c>
      <c r="U27" s="41">
        <f>IF('Rear Braking'!$D$19*'Pedal Char.'!$D$11&lt;'Rolling or Skidding'!U25,'Rear Braking'!$D$19*'Pedal Char.'!$D$11,U26)</f>
        <v>355.66935526219731</v>
      </c>
      <c r="V27" s="41">
        <f>IF('Rear Braking'!$D$19*'Pedal Char.'!$D$11&lt;'Rolling or Skidding'!V25,'Rear Braking'!$D$19*'Pedal Char.'!$D$11,V26)</f>
        <v>355.66935526219856</v>
      </c>
      <c r="W27" s="41">
        <f>IF('Rear Braking'!$D$19*'Pedal Char.'!$D$11&lt;'Rolling or Skidding'!W25,'Rear Braking'!$D$19*'Pedal Char.'!$D$11,W26)</f>
        <v>355.66935526219811</v>
      </c>
      <c r="X27" s="41">
        <f>IF('Rear Braking'!$D$19*'Pedal Char.'!$D$11&lt;'Rolling or Skidding'!X25,'Rear Braking'!$D$19*'Pedal Char.'!$D$11,X26)</f>
        <v>355.66935526219839</v>
      </c>
      <c r="Y27" s="41">
        <f>IF('Rear Braking'!$D$19*'Pedal Char.'!$D$11&lt;'Rolling or Skidding'!Y25,'Rear Braking'!$D$19*'Pedal Char.'!$D$11,Y26)</f>
        <v>355.66935526219811</v>
      </c>
      <c r="Z27" s="41">
        <f>IF('Rear Braking'!$D$19*'Pedal Char.'!$D$11&lt;'Rolling or Skidding'!Z25,'Rear Braking'!$D$19*'Pedal Char.'!$D$11,Z26)</f>
        <v>355.66935526219839</v>
      </c>
      <c r="AA27" s="41">
        <f>IF('Rear Braking'!$D$19*'Pedal Char.'!$D$11&lt;'Rolling or Skidding'!AA25,'Rear Braking'!$D$19*'Pedal Char.'!$D$11,AA26)</f>
        <v>355.66935526219811</v>
      </c>
      <c r="AB27" s="41">
        <f>IF('Rear Braking'!$D$19*'Pedal Char.'!$D$11&lt;'Rolling or Skidding'!AB25,'Rear Braking'!$D$19*'Pedal Char.'!$D$11,AB26)</f>
        <v>355.66935526219839</v>
      </c>
      <c r="AC27" s="41">
        <f>IF('Rear Braking'!$D$19*'Pedal Char.'!$D$11&lt;'Rolling or Skidding'!AC25,'Rear Braking'!$D$19*'Pedal Char.'!$D$11,AC26)</f>
        <v>355.66935526219811</v>
      </c>
    </row>
    <row r="28" spans="2:29" x14ac:dyDescent="0.2">
      <c r="B28" s="55"/>
      <c r="C28" s="41" t="s">
        <v>158</v>
      </c>
      <c r="D28" s="41"/>
      <c r="E28" s="41" t="str">
        <f>IF('Rear Braking'!$D$19&gt;'Rolling or Skidding'!E25, "SKIDDING","Rolling")</f>
        <v>Rolling</v>
      </c>
      <c r="F28" s="41" t="str">
        <f>IF('Rear Braking'!$D$19*'Pedal Char.'!$D$10&gt;'Rolling or Skidding'!F25, "SKIDDING","Rolling")</f>
        <v>Rolling</v>
      </c>
      <c r="G28" s="41" t="str">
        <f>IF('Rear Braking'!$D$19*'Pedal Char.'!$D$10&gt;'Rolling or Skidding'!G25, "SKIDDING","Rolling")</f>
        <v>SKIDDING</v>
      </c>
      <c r="H28" s="41" t="str">
        <f>IF('Rear Braking'!$D$19*'Pedal Char.'!$D$11&gt;'Rolling or Skidding'!H25, "SKIDDING","Rolling")</f>
        <v>SKIDDING</v>
      </c>
      <c r="I28" s="41" t="str">
        <f>IF('Rear Braking'!$D$19*'Pedal Char.'!$D$11&gt;'Rolling or Skidding'!I25, "SKIDDING","Rolling")</f>
        <v>SKIDDING</v>
      </c>
      <c r="J28" s="41" t="str">
        <f>IF('Rear Braking'!$D$19*'Pedal Char.'!$D$11&gt;'Rolling or Skidding'!J25, "SKIDDING","Rolling")</f>
        <v>SKIDDING</v>
      </c>
      <c r="K28" s="41" t="str">
        <f>IF('Rear Braking'!$D$19*'Pedal Char.'!$D$11&gt;'Rolling or Skidding'!K25, "SKIDDING","Rolling")</f>
        <v>SKIDDING</v>
      </c>
      <c r="L28" s="41" t="str">
        <f>IF('Rear Braking'!$D$19*'Pedal Char.'!$D$11&gt;'Rolling or Skidding'!L25, "SKIDDING","Rolling")</f>
        <v>SKIDDING</v>
      </c>
      <c r="M28" s="41" t="str">
        <f>IF('Rear Braking'!$D$19*'Pedal Char.'!$D$11&gt;'Rolling or Skidding'!M25, "SKIDDING","Rolling")</f>
        <v>SKIDDING</v>
      </c>
      <c r="N28" s="41" t="str">
        <f>IF('Rear Braking'!$D$19*'Pedal Char.'!$D$11&gt;'Rolling or Skidding'!N25, "SKIDDING","Rolling")</f>
        <v>SKIDDING</v>
      </c>
      <c r="O28" s="41" t="str">
        <f>IF('Rear Braking'!$D$19*'Pedal Char.'!$D$11&gt;'Rolling or Skidding'!O25, "SKIDDING","Rolling")</f>
        <v>SKIDDING</v>
      </c>
      <c r="P28" s="41" t="str">
        <f>IF('Rear Braking'!$D$19*'Pedal Char.'!$D$11&gt;'Rolling or Skidding'!P25, "SKIDDING","Rolling")</f>
        <v>SKIDDING</v>
      </c>
      <c r="Q28" s="41" t="str">
        <f>IF('Rear Braking'!$D$19*'Pedal Char.'!$D$11&gt;'Rolling or Skidding'!Q25, "SKIDDING","Rolling")</f>
        <v>SKIDDING</v>
      </c>
      <c r="R28" s="41" t="str">
        <f>IF('Rear Braking'!$D$19*'Pedal Char.'!$D$11&gt;'Rolling or Skidding'!R25, "SKIDDING","Rolling")</f>
        <v>SKIDDING</v>
      </c>
      <c r="S28" s="41" t="str">
        <f>IF('Rear Braking'!$D$19*'Pedal Char.'!$D$11&gt;'Rolling or Skidding'!S25, "SKIDDING","Rolling")</f>
        <v>SKIDDING</v>
      </c>
      <c r="T28" s="41" t="str">
        <f>IF('Rear Braking'!$D$19*'Pedal Char.'!$D$11&gt;'Rolling or Skidding'!T25, "SKIDDING","Rolling")</f>
        <v>SKIDDING</v>
      </c>
      <c r="U28" s="41" t="str">
        <f>IF('Rear Braking'!$D$19*'Pedal Char.'!$D$11&gt;'Rolling or Skidding'!U25, "SKIDDING","Rolling")</f>
        <v>SKIDDING</v>
      </c>
      <c r="V28" s="41" t="str">
        <f>IF('Rear Braking'!$D$19*'Pedal Char.'!$D$11&gt;'Rolling or Skidding'!V25, "SKIDDING","Rolling")</f>
        <v>SKIDDING</v>
      </c>
      <c r="W28" s="41" t="str">
        <f>IF('Rear Braking'!$D$19*'Pedal Char.'!$D$11&gt;'Rolling or Skidding'!W25, "SKIDDING","Rolling")</f>
        <v>SKIDDING</v>
      </c>
      <c r="X28" s="41" t="str">
        <f>IF('Rear Braking'!$D$19*'Pedal Char.'!$D$11&gt;'Rolling or Skidding'!X25, "SKIDDING","Rolling")</f>
        <v>SKIDDING</v>
      </c>
      <c r="Y28" s="41" t="str">
        <f>IF('Rear Braking'!$D$19*'Pedal Char.'!$D$11&gt;'Rolling or Skidding'!Y25, "SKIDDING","Rolling")</f>
        <v>SKIDDING</v>
      </c>
      <c r="Z28" s="41" t="str">
        <f>IF('Rear Braking'!$D$19*'Pedal Char.'!$D$11&gt;'Rolling or Skidding'!Z25, "SKIDDING","Rolling")</f>
        <v>SKIDDING</v>
      </c>
      <c r="AA28" s="41" t="str">
        <f>IF('Rear Braking'!$D$19*'Pedal Char.'!$D$11&gt;'Rolling or Skidding'!AA25, "SKIDDING","Rolling")</f>
        <v>SKIDDING</v>
      </c>
      <c r="AB28" s="41" t="str">
        <f>IF('Rear Braking'!$D$19*'Pedal Char.'!$D$11&gt;'Rolling or Skidding'!AB25, "SKIDDING","Rolling")</f>
        <v>SKIDDING</v>
      </c>
      <c r="AC28" s="41" t="str">
        <f>IF('Rear Braking'!$D$19*'Pedal Char.'!$D$11&gt;'Rolling or Skidding'!AC25, "SKIDDING","Rolling")</f>
        <v>SKIDDING</v>
      </c>
    </row>
    <row r="29" spans="2:29" x14ac:dyDescent="0.2">
      <c r="B29" s="55"/>
      <c r="C29" s="41" t="s">
        <v>74</v>
      </c>
      <c r="D29" s="41"/>
      <c r="E29" s="41">
        <f t="shared" ref="E29:J29" si="8">E27/E24</f>
        <v>0.53401458892622167</v>
      </c>
      <c r="F29" s="41">
        <f t="shared" si="8"/>
        <v>1.1431634930097607</v>
      </c>
      <c r="G29" s="41">
        <f t="shared" si="8"/>
        <v>1.166889611035842</v>
      </c>
      <c r="H29" s="41">
        <f t="shared" si="8"/>
        <v>1.166889611035842</v>
      </c>
      <c r="I29" s="41">
        <f t="shared" si="8"/>
        <v>1.166889611035842</v>
      </c>
      <c r="J29" s="41">
        <f t="shared" si="8"/>
        <v>1.166889611035842</v>
      </c>
      <c r="K29" s="41">
        <f t="shared" ref="K29:AC29" si="9">K27/K24</f>
        <v>1.166889611035842</v>
      </c>
      <c r="L29" s="41">
        <f t="shared" si="9"/>
        <v>1.166889611035842</v>
      </c>
      <c r="M29" s="41">
        <f t="shared" si="9"/>
        <v>1.1668896110358418</v>
      </c>
      <c r="N29" s="41">
        <f t="shared" si="9"/>
        <v>1.166889611035842</v>
      </c>
      <c r="O29" s="41">
        <f t="shared" si="9"/>
        <v>1.1668896110358418</v>
      </c>
      <c r="P29" s="41">
        <f t="shared" si="9"/>
        <v>1.166889611035842</v>
      </c>
      <c r="Q29" s="41">
        <f t="shared" si="9"/>
        <v>1.1668896110358418</v>
      </c>
      <c r="R29" s="41">
        <f t="shared" si="9"/>
        <v>1.166889611035842</v>
      </c>
      <c r="S29" s="41">
        <f t="shared" si="9"/>
        <v>1.166889611035842</v>
      </c>
      <c r="T29" s="41">
        <f t="shared" si="9"/>
        <v>1.1668896110358418</v>
      </c>
      <c r="U29" s="41">
        <f t="shared" si="9"/>
        <v>1.1668896110358418</v>
      </c>
      <c r="V29" s="41">
        <f t="shared" si="9"/>
        <v>1.166889611035842</v>
      </c>
      <c r="W29" s="41">
        <f t="shared" si="9"/>
        <v>1.1668896110358418</v>
      </c>
      <c r="X29" s="41">
        <f t="shared" si="9"/>
        <v>1.166889611035842</v>
      </c>
      <c r="Y29" s="41">
        <f t="shared" si="9"/>
        <v>1.1668896110358418</v>
      </c>
      <c r="Z29" s="41">
        <f t="shared" si="9"/>
        <v>1.166889611035842</v>
      </c>
      <c r="AA29" s="41">
        <f t="shared" si="9"/>
        <v>1.1668896110358418</v>
      </c>
      <c r="AB29" s="41">
        <f t="shared" si="9"/>
        <v>1.166889611035842</v>
      </c>
      <c r="AC29" s="41">
        <f t="shared" si="9"/>
        <v>1.1668896110358418</v>
      </c>
    </row>
    <row r="30" spans="2:29" x14ac:dyDescent="0.2">
      <c r="B30" s="55"/>
      <c r="C30" s="41" t="s">
        <v>160</v>
      </c>
      <c r="D30" s="41"/>
      <c r="E30" s="54">
        <f>IF((E25-'Rear Braking'!$D$19)&lt;0,0,E25-'Rear Braking'!$D$19)</f>
        <v>573.10532531244371</v>
      </c>
      <c r="F30" s="54">
        <f>IF((F25-'Rear Braking'!$D$19*'Pedal Char.'!$D$10)&lt;0,0,F25-'Rear Braking'!$D$19*'Pedal Char.'!$D$10)</f>
        <v>33.233221878197298</v>
      </c>
      <c r="G30" s="54">
        <f>IF((G25-'Rear Braking'!$D$19*'Pedal Char.'!$D$10)&lt;0,0,G25-'Rear Braking'!$D$19*'Pedal Char.'!$D$10)</f>
        <v>0</v>
      </c>
      <c r="H30" s="54">
        <f>IF((H25-'Rear Braking'!$D$19*'Pedal Char.'!$D$11)&lt;0,0,H25-'Rear Braking'!$D$19*'Pedal Char.'!$D$11)</f>
        <v>0</v>
      </c>
      <c r="I30" s="54">
        <f>IF((I25-'Rear Braking'!$D$19*'Pedal Char.'!$D$11)&lt;0,0,I25-'Rear Braking'!$D$19*'Pedal Char.'!$D$11)</f>
        <v>0</v>
      </c>
      <c r="J30" s="54">
        <f>IF((J25-'Rear Braking'!$D$19*'Pedal Char.'!$D$11)&lt;0,0,J25-'Rear Braking'!$D$19*'Pedal Char.'!$D$11)</f>
        <v>0</v>
      </c>
      <c r="K30" s="54">
        <f>IF((K25-'Rear Braking'!$D$19*'Pedal Char.'!$D$11)&lt;0,0,K25-'Rear Braking'!$D$19*'Pedal Char.'!$D$11)</f>
        <v>0</v>
      </c>
      <c r="L30" s="54">
        <f>IF((L25-'Rear Braking'!$D$19*'Pedal Char.'!$D$11)&lt;0,0,L25-'Rear Braking'!$D$19*'Pedal Char.'!$D$11)</f>
        <v>0</v>
      </c>
      <c r="M30" s="54">
        <f>IF((M25-'Rear Braking'!$D$19*'Pedal Char.'!$D$11)&lt;0,0,M25-'Rear Braking'!$D$19*'Pedal Char.'!$D$11)</f>
        <v>0</v>
      </c>
      <c r="N30" s="54">
        <f>IF((N25-'Rear Braking'!$D$19*'Pedal Char.'!$D$11)&lt;0,0,N25-'Rear Braking'!$D$19*'Pedal Char.'!$D$11)</f>
        <v>0</v>
      </c>
      <c r="O30" s="54">
        <f>IF((O25-'Rear Braking'!$D$19*'Pedal Char.'!$D$11)&lt;0,0,O25-'Rear Braking'!$D$19*'Pedal Char.'!$D$11)</f>
        <v>0</v>
      </c>
      <c r="P30" s="54">
        <f>IF((P25-'Rear Braking'!$D$19*'Pedal Char.'!$D$11)&lt;0,0,P25-'Rear Braking'!$D$19*'Pedal Char.'!$D$11)</f>
        <v>0</v>
      </c>
      <c r="Q30" s="54">
        <f>IF((Q25-'Rear Braking'!$D$19*'Pedal Char.'!$D$11)&lt;0,0,Q25-'Rear Braking'!$D$19*'Pedal Char.'!$D$11)</f>
        <v>0</v>
      </c>
      <c r="R30" s="54">
        <f>IF((R25-'Rear Braking'!$D$19*'Pedal Char.'!$D$11)&lt;0,0,R25-'Rear Braking'!$D$19*'Pedal Char.'!$D$11)</f>
        <v>0</v>
      </c>
      <c r="S30" s="54">
        <f>IF((S25-'Rear Braking'!$D$19*'Pedal Char.'!$D$11)&lt;0,0,S25-'Rear Braking'!$D$19*'Pedal Char.'!$D$11)</f>
        <v>0</v>
      </c>
      <c r="T30" s="54">
        <f>IF((T25-'Rear Braking'!$D$19*'Pedal Char.'!$D$11)&lt;0,0,T25-'Rear Braking'!$D$19*'Pedal Char.'!$D$11)</f>
        <v>0</v>
      </c>
      <c r="U30" s="54">
        <f>IF((U25-'Rear Braking'!$D$19*'Pedal Char.'!$D$11)&lt;0,0,U25-'Rear Braking'!$D$19*'Pedal Char.'!$D$11)</f>
        <v>0</v>
      </c>
      <c r="V30" s="54">
        <f>IF((V25-'Rear Braking'!$D$19*'Pedal Char.'!$D$11)&lt;0,0,V25-'Rear Braking'!$D$19*'Pedal Char.'!$D$11)</f>
        <v>0</v>
      </c>
      <c r="W30" s="54">
        <f>IF((W25-'Rear Braking'!$D$19*'Pedal Char.'!$D$11)&lt;0,0,W25-'Rear Braking'!$D$19*'Pedal Char.'!$D$11)</f>
        <v>0</v>
      </c>
      <c r="X30" s="54">
        <f>IF((X25-'Rear Braking'!$D$19*'Pedal Char.'!$D$11)&lt;0,0,X25-'Rear Braking'!$D$19*'Pedal Char.'!$D$11)</f>
        <v>0</v>
      </c>
      <c r="Y30" s="54">
        <f>IF((Y25-'Rear Braking'!$D$19*'Pedal Char.'!$D$11)&lt;0,0,Y25-'Rear Braking'!$D$19*'Pedal Char.'!$D$11)</f>
        <v>0</v>
      </c>
      <c r="Z30" s="54">
        <f>IF((Z25-'Rear Braking'!$D$19*'Pedal Char.'!$D$11)&lt;0,0,Z25-'Rear Braking'!$D$19*'Pedal Char.'!$D$11)</f>
        <v>0</v>
      </c>
      <c r="AA30" s="54">
        <f>IF((AA25-'Rear Braking'!$D$19*'Pedal Char.'!$D$11)&lt;0,0,AA25-'Rear Braking'!$D$19*'Pedal Char.'!$D$11)</f>
        <v>0</v>
      </c>
      <c r="AB30" s="54">
        <f>IF((AB25-'Rear Braking'!$D$19*'Pedal Char.'!$D$11)&lt;0,0,AB25-'Rear Braking'!$D$19*'Pedal Char.'!$D$11)</f>
        <v>0</v>
      </c>
      <c r="AC30" s="54">
        <f>IF((AC25-'Rear Braking'!$D$19*'Pedal Char.'!$D$11)&lt;0,0,AC25-'Rear Braking'!$D$19*'Pedal Char.'!$D$11)</f>
        <v>0</v>
      </c>
    </row>
    <row r="31" spans="2:29" x14ac:dyDescent="0.2">
      <c r="B31" s="55"/>
      <c r="C31" s="41" t="s">
        <v>161</v>
      </c>
      <c r="D31" s="41"/>
      <c r="E31" s="54">
        <f>AVERAGE(N30:AC30)</f>
        <v>0</v>
      </c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</row>
    <row r="32" spans="2:29" x14ac:dyDescent="0.2">
      <c r="B32" s="55" t="s">
        <v>69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</row>
    <row r="33" spans="2:29" x14ac:dyDescent="0.2">
      <c r="B33" s="55"/>
      <c r="C33" s="41" t="s">
        <v>72</v>
      </c>
      <c r="D33" s="41"/>
      <c r="E33" s="41">
        <f>'Veh. Parameters'!E16</f>
        <v>824.04000000000008</v>
      </c>
      <c r="F33" s="41">
        <f t="shared" ref="F33:AC33" si="10">$E$33-E$48</f>
        <v>384.94002349583997</v>
      </c>
      <c r="G33" s="41">
        <f t="shared" si="10"/>
        <v>301.62386222208772</v>
      </c>
      <c r="H33" s="41">
        <f t="shared" si="10"/>
        <v>305.20272994484037</v>
      </c>
      <c r="I33" s="41">
        <f t="shared" si="10"/>
        <v>304.75028910675201</v>
      </c>
      <c r="J33" s="41">
        <f t="shared" si="10"/>
        <v>304.80765406218222</v>
      </c>
      <c r="K33" s="41">
        <f t="shared" si="10"/>
        <v>304.80038345087701</v>
      </c>
      <c r="L33" s="41">
        <f t="shared" si="10"/>
        <v>304.8013049937673</v>
      </c>
      <c r="M33" s="41">
        <f t="shared" si="10"/>
        <v>304.80118818979906</v>
      </c>
      <c r="N33" s="41">
        <f t="shared" si="10"/>
        <v>304.80120299451119</v>
      </c>
      <c r="O33" s="41">
        <f t="shared" si="10"/>
        <v>304.80120111803831</v>
      </c>
      <c r="P33" s="41">
        <f t="shared" si="10"/>
        <v>304.80120135587822</v>
      </c>
      <c r="Q33" s="41">
        <f t="shared" si="10"/>
        <v>304.80120132573234</v>
      </c>
      <c r="R33" s="41">
        <f t="shared" si="10"/>
        <v>304.80120132955335</v>
      </c>
      <c r="S33" s="41">
        <f t="shared" si="10"/>
        <v>304.80120132906893</v>
      </c>
      <c r="T33" s="41">
        <f t="shared" si="10"/>
        <v>304.80120132913032</v>
      </c>
      <c r="U33" s="41">
        <f t="shared" si="10"/>
        <v>304.8012013291227</v>
      </c>
      <c r="V33" s="41">
        <f t="shared" si="10"/>
        <v>304.80120132912373</v>
      </c>
      <c r="W33" s="41">
        <f t="shared" si="10"/>
        <v>304.80120132912339</v>
      </c>
      <c r="X33" s="41">
        <f t="shared" si="10"/>
        <v>304.80120132912361</v>
      </c>
      <c r="Y33" s="41">
        <f t="shared" si="10"/>
        <v>304.80120132912339</v>
      </c>
      <c r="Z33" s="41">
        <f t="shared" si="10"/>
        <v>304.80120132912361</v>
      </c>
      <c r="AA33" s="41">
        <f t="shared" si="10"/>
        <v>304.80120132912339</v>
      </c>
      <c r="AB33" s="41">
        <f t="shared" si="10"/>
        <v>304.80120132912361</v>
      </c>
      <c r="AC33" s="41">
        <f t="shared" si="10"/>
        <v>304.80120132912339</v>
      </c>
    </row>
    <row r="34" spans="2:29" x14ac:dyDescent="0.2">
      <c r="B34" s="55"/>
      <c r="C34" s="41" t="s">
        <v>70</v>
      </c>
      <c r="D34" s="41"/>
      <c r="E34" s="54">
        <f>E25</f>
        <v>1013.1547071712074</v>
      </c>
      <c r="F34" s="54">
        <f t="shared" ref="F34:AC34" si="11">F25</f>
        <v>473.28260373696105</v>
      </c>
      <c r="G34" s="54">
        <f t="shared" si="11"/>
        <v>370.84563347103034</v>
      </c>
      <c r="H34" s="54">
        <f t="shared" si="11"/>
        <v>375.24584059647322</v>
      </c>
      <c r="I34" s="54">
        <f t="shared" si="11"/>
        <v>374.68956594375521</v>
      </c>
      <c r="J34" s="54">
        <f t="shared" si="11"/>
        <v>374.76009598431244</v>
      </c>
      <c r="K34" s="54">
        <f t="shared" si="11"/>
        <v>374.75115678953085</v>
      </c>
      <c r="L34" s="54">
        <f t="shared" si="11"/>
        <v>374.75228982374904</v>
      </c>
      <c r="M34" s="54">
        <f t="shared" si="11"/>
        <v>374.75214621362056</v>
      </c>
      <c r="N34" s="54">
        <f t="shared" si="11"/>
        <v>374.75216441596967</v>
      </c>
      <c r="O34" s="54">
        <f t="shared" si="11"/>
        <v>374.75216210885191</v>
      </c>
      <c r="P34" s="54">
        <f t="shared" si="11"/>
        <v>374.75216240127537</v>
      </c>
      <c r="Q34" s="54">
        <f t="shared" si="11"/>
        <v>374.75216236421107</v>
      </c>
      <c r="R34" s="54">
        <f t="shared" si="11"/>
        <v>374.75216236890901</v>
      </c>
      <c r="S34" s="54">
        <f t="shared" si="11"/>
        <v>374.75216236831346</v>
      </c>
      <c r="T34" s="54">
        <f t="shared" si="11"/>
        <v>374.75216236838889</v>
      </c>
      <c r="U34" s="54">
        <f t="shared" si="11"/>
        <v>374.75216236837952</v>
      </c>
      <c r="V34" s="54">
        <f t="shared" si="11"/>
        <v>374.75216236838082</v>
      </c>
      <c r="W34" s="54">
        <f t="shared" si="11"/>
        <v>374.75216236838037</v>
      </c>
      <c r="X34" s="54">
        <f t="shared" si="11"/>
        <v>374.75216236838065</v>
      </c>
      <c r="Y34" s="54">
        <f t="shared" si="11"/>
        <v>374.75216236838037</v>
      </c>
      <c r="Z34" s="54">
        <f t="shared" si="11"/>
        <v>374.75216236838065</v>
      </c>
      <c r="AA34" s="54">
        <f t="shared" si="11"/>
        <v>374.75216236838037</v>
      </c>
      <c r="AB34" s="54">
        <f t="shared" si="11"/>
        <v>374.75216236838065</v>
      </c>
      <c r="AC34" s="54">
        <f t="shared" si="11"/>
        <v>374.75216236838037</v>
      </c>
    </row>
    <row r="35" spans="2:29" x14ac:dyDescent="0.2">
      <c r="B35" s="55"/>
      <c r="C35" s="41" t="s">
        <v>71</v>
      </c>
      <c r="D35" s="41"/>
      <c r="E35" s="54">
        <f>E26</f>
        <v>961.5637150779753</v>
      </c>
      <c r="F35" s="54">
        <f t="shared" ref="F35:AC35" si="12">F26</f>
        <v>449.18251428918853</v>
      </c>
      <c r="G35" s="54">
        <f t="shared" si="12"/>
        <v>351.96175126746033</v>
      </c>
      <c r="H35" s="54">
        <f t="shared" si="12"/>
        <v>356.13789483241192</v>
      </c>
      <c r="I35" s="54">
        <f t="shared" si="12"/>
        <v>355.60994631883824</v>
      </c>
      <c r="J35" s="54">
        <f t="shared" si="12"/>
        <v>355.67688488936727</v>
      </c>
      <c r="K35" s="54">
        <f t="shared" si="12"/>
        <v>355.66840088856935</v>
      </c>
      <c r="L35" s="54">
        <f t="shared" si="12"/>
        <v>355.66947622739417</v>
      </c>
      <c r="M35" s="54">
        <f t="shared" si="12"/>
        <v>355.66933993005705</v>
      </c>
      <c r="N35" s="54">
        <f t="shared" si="12"/>
        <v>355.66935720552186</v>
      </c>
      <c r="O35" s="54">
        <f t="shared" si="12"/>
        <v>355.66935501588512</v>
      </c>
      <c r="P35" s="54">
        <f t="shared" si="12"/>
        <v>355.66935529341811</v>
      </c>
      <c r="Q35" s="54">
        <f t="shared" si="12"/>
        <v>355.66935525824113</v>
      </c>
      <c r="R35" s="54">
        <f t="shared" si="12"/>
        <v>355.66935526269987</v>
      </c>
      <c r="S35" s="54">
        <f t="shared" si="12"/>
        <v>355.66935526213462</v>
      </c>
      <c r="T35" s="54">
        <f t="shared" si="12"/>
        <v>355.66935526220618</v>
      </c>
      <c r="U35" s="54">
        <f t="shared" si="12"/>
        <v>355.66935526219731</v>
      </c>
      <c r="V35" s="54">
        <f t="shared" si="12"/>
        <v>355.66935526219856</v>
      </c>
      <c r="W35" s="54">
        <f t="shared" si="12"/>
        <v>355.66935526219811</v>
      </c>
      <c r="X35" s="54">
        <f t="shared" si="12"/>
        <v>355.66935526219839</v>
      </c>
      <c r="Y35" s="54">
        <f t="shared" si="12"/>
        <v>355.66935526219811</v>
      </c>
      <c r="Z35" s="54">
        <f t="shared" si="12"/>
        <v>355.66935526219839</v>
      </c>
      <c r="AA35" s="54">
        <f t="shared" si="12"/>
        <v>355.66935526219811</v>
      </c>
      <c r="AB35" s="54">
        <f t="shared" si="12"/>
        <v>355.66935526219839</v>
      </c>
      <c r="AC35" s="54">
        <f t="shared" si="12"/>
        <v>355.66935526219811</v>
      </c>
    </row>
    <row r="36" spans="2:29" x14ac:dyDescent="0.2">
      <c r="B36" s="55"/>
      <c r="C36" s="41" t="s">
        <v>77</v>
      </c>
      <c r="D36" s="41"/>
      <c r="E36" s="41">
        <f>IF('Rear Braking'!$D$19&lt;'Rolling or Skidding'!E34,'Rear Braking'!$D$19,E35)</f>
        <v>440.04938185876375</v>
      </c>
      <c r="F36" s="41">
        <f>IF('Rear Braking'!$D$19*'Pedal Char.'!$D$10&lt;'Rolling or Skidding'!F34,'Rear Braking'!$D$19*'Pedal Char.'!$D$10,F35)</f>
        <v>440.04938185876375</v>
      </c>
      <c r="G36" s="41">
        <f>IF('Rear Braking'!$D$19*'Pedal Char.'!$D$10&lt;'Rolling or Skidding'!G34,'Rear Braking'!$D$19*'Pedal Char.'!$D$10,G35)</f>
        <v>351.96175126746033</v>
      </c>
      <c r="H36" s="41">
        <f>IF('Rear Braking'!$D$19*'Pedal Char.'!$D$11&lt;'Rolling or Skidding'!H34,'Rear Braking'!$D$19*'Pedal Char.'!$D$11,H35)</f>
        <v>356.13789483241192</v>
      </c>
      <c r="I36" s="41">
        <f>IF('Rear Braking'!$D$19*'Pedal Char.'!$D$11&lt;'Rolling or Skidding'!I34,'Rear Braking'!$D$19*'Pedal Char.'!$D$11,I35)</f>
        <v>355.60994631883824</v>
      </c>
      <c r="J36" s="41">
        <f>IF('Rear Braking'!$D$19*'Pedal Char.'!$D$11&lt;'Rolling or Skidding'!J34,'Rear Braking'!$D$19*'Pedal Char.'!$D$11,J35)</f>
        <v>355.67688488936727</v>
      </c>
      <c r="K36" s="41">
        <f>IF('Rear Braking'!$D$19*'Pedal Char.'!$D$11&lt;'Rolling or Skidding'!K34,'Rear Braking'!$D$19*'Pedal Char.'!$D$11,K35)</f>
        <v>355.66840088856935</v>
      </c>
      <c r="L36" s="41">
        <f>IF('Rear Braking'!$D$19*'Pedal Char.'!$D$11&lt;'Rolling or Skidding'!L34,'Rear Braking'!$D$19*'Pedal Char.'!$D$11,L35)</f>
        <v>355.66947622739417</v>
      </c>
      <c r="M36" s="41">
        <f>IF('Rear Braking'!$D$19*'Pedal Char.'!$D$11&lt;'Rolling or Skidding'!M34,'Rear Braking'!$D$19*'Pedal Char.'!$D$11,M35)</f>
        <v>355.66933993005705</v>
      </c>
      <c r="N36" s="41">
        <f>IF('Rear Braking'!$D$19*'Pedal Char.'!$D$11&lt;'Rolling or Skidding'!N34,'Rear Braking'!$D$19*'Pedal Char.'!$D$11,N35)</f>
        <v>355.66935720552186</v>
      </c>
      <c r="O36" s="41">
        <f>IF('Rear Braking'!$D$19*'Pedal Char.'!$D$11&lt;'Rolling or Skidding'!O34,'Rear Braking'!$D$19*'Pedal Char.'!$D$11,O35)</f>
        <v>355.66935501588512</v>
      </c>
      <c r="P36" s="41">
        <f>IF('Rear Braking'!$D$19*'Pedal Char.'!$D$11&lt;'Rolling or Skidding'!P34,'Rear Braking'!$D$19*'Pedal Char.'!$D$11,P35)</f>
        <v>355.66935529341811</v>
      </c>
      <c r="Q36" s="41">
        <f>IF('Rear Braking'!$D$19*'Pedal Char.'!$D$11&lt;'Rolling or Skidding'!Q34,'Rear Braking'!$D$19*'Pedal Char.'!$D$11,Q35)</f>
        <v>355.66935525824113</v>
      </c>
      <c r="R36" s="41">
        <f>IF('Rear Braking'!$D$19*'Pedal Char.'!$D$11&lt;'Rolling or Skidding'!R34,'Rear Braking'!$D$19*'Pedal Char.'!$D$11,R35)</f>
        <v>355.66935526269987</v>
      </c>
      <c r="S36" s="41">
        <f>IF('Rear Braking'!$D$19*'Pedal Char.'!$D$11&lt;'Rolling or Skidding'!S34,'Rear Braking'!$D$19*'Pedal Char.'!$D$11,S35)</f>
        <v>355.66935526213462</v>
      </c>
      <c r="T36" s="41">
        <f>IF('Rear Braking'!$D$19*'Pedal Char.'!$D$11&lt;'Rolling or Skidding'!T34,'Rear Braking'!$D$19*'Pedal Char.'!$D$11,T35)</f>
        <v>355.66935526220618</v>
      </c>
      <c r="U36" s="41">
        <f>IF('Rear Braking'!$D$19*'Pedal Char.'!$D$11&lt;'Rolling or Skidding'!U34,'Rear Braking'!$D$19*'Pedal Char.'!$D$11,U35)</f>
        <v>355.66935526219731</v>
      </c>
      <c r="V36" s="41">
        <f>IF('Rear Braking'!$D$19*'Pedal Char.'!$D$11&lt;'Rolling or Skidding'!V34,'Rear Braking'!$D$19*'Pedal Char.'!$D$11,V35)</f>
        <v>355.66935526219856</v>
      </c>
      <c r="W36" s="41">
        <f>IF('Rear Braking'!$D$19*'Pedal Char.'!$D$11&lt;'Rolling or Skidding'!W34,'Rear Braking'!$D$19*'Pedal Char.'!$D$11,W35)</f>
        <v>355.66935526219811</v>
      </c>
      <c r="X36" s="41">
        <f>IF('Rear Braking'!$D$19*'Pedal Char.'!$D$11&lt;'Rolling or Skidding'!X34,'Rear Braking'!$D$19*'Pedal Char.'!$D$11,X35)</f>
        <v>355.66935526219839</v>
      </c>
      <c r="Y36" s="41">
        <f>IF('Rear Braking'!$D$19*'Pedal Char.'!$D$11&lt;'Rolling or Skidding'!Y34,'Rear Braking'!$D$19*'Pedal Char.'!$D$11,Y35)</f>
        <v>355.66935526219811</v>
      </c>
      <c r="Z36" s="41">
        <f>IF('Rear Braking'!$D$19*'Pedal Char.'!$D$11&lt;'Rolling or Skidding'!Z34,'Rear Braking'!$D$19*'Pedal Char.'!$D$11,Z35)</f>
        <v>355.66935526219839</v>
      </c>
      <c r="AA36" s="41">
        <f>IF('Rear Braking'!$D$19*'Pedal Char.'!$D$11&lt;'Rolling or Skidding'!AA34,'Rear Braking'!$D$19*'Pedal Char.'!$D$11,AA35)</f>
        <v>355.66935526219811</v>
      </c>
      <c r="AB36" s="41">
        <f>IF('Rear Braking'!$D$19*'Pedal Char.'!$D$11&lt;'Rolling or Skidding'!AB34,'Rear Braking'!$D$19*'Pedal Char.'!$D$11,AB35)</f>
        <v>355.66935526219839</v>
      </c>
      <c r="AC36" s="41">
        <f>IF('Rear Braking'!$D$19*'Pedal Char.'!$D$11&lt;'Rolling or Skidding'!AC34,'Rear Braking'!$D$19*'Pedal Char.'!$D$11,AC35)</f>
        <v>355.66935526219811</v>
      </c>
    </row>
    <row r="37" spans="2:29" x14ac:dyDescent="0.2">
      <c r="B37" s="55"/>
      <c r="C37" s="41" t="s">
        <v>158</v>
      </c>
      <c r="D37" s="41"/>
      <c r="E37" s="41" t="str">
        <f>IF('Rear Braking'!$D$19&gt;'Rolling or Skidding'!E34, "SKIDDING","Rolling")</f>
        <v>Rolling</v>
      </c>
      <c r="F37" s="41" t="str">
        <f>IF('Rear Braking'!$D$19*'Pedal Char.'!$D$10&gt;'Rolling or Skidding'!F34, "SKIDDING","Rolling")</f>
        <v>Rolling</v>
      </c>
      <c r="G37" s="41" t="str">
        <f>IF('Rear Braking'!$D$19*'Pedal Char.'!$D$10&gt;'Rolling or Skidding'!G34, "SKIDDING","Rolling")</f>
        <v>SKIDDING</v>
      </c>
      <c r="H37" s="41" t="str">
        <f>IF('Rear Braking'!$D$19*'Pedal Char.'!$D$11&gt;'Rolling or Skidding'!H34, "SKIDDING","Rolling")</f>
        <v>SKIDDING</v>
      </c>
      <c r="I37" s="41" t="str">
        <f>IF('Rear Braking'!$D$19*'Pedal Char.'!$D$11&gt;'Rolling or Skidding'!I34, "SKIDDING","Rolling")</f>
        <v>SKIDDING</v>
      </c>
      <c r="J37" s="41" t="str">
        <f>IF('Rear Braking'!$D$19*'Pedal Char.'!$D$11&gt;'Rolling or Skidding'!J34, "SKIDDING","Rolling")</f>
        <v>SKIDDING</v>
      </c>
      <c r="K37" s="41" t="str">
        <f>IF('Rear Braking'!$D$19*'Pedal Char.'!$D$11&gt;'Rolling or Skidding'!K34, "SKIDDING","Rolling")</f>
        <v>SKIDDING</v>
      </c>
      <c r="L37" s="41" t="str">
        <f>IF('Rear Braking'!$D$19*'Pedal Char.'!$D$11&gt;'Rolling or Skidding'!L34, "SKIDDING","Rolling")</f>
        <v>SKIDDING</v>
      </c>
      <c r="M37" s="41" t="str">
        <f>IF('Rear Braking'!$D$19*'Pedal Char.'!$D$11&gt;'Rolling or Skidding'!M34, "SKIDDING","Rolling")</f>
        <v>SKIDDING</v>
      </c>
      <c r="N37" s="41" t="str">
        <f>IF('Rear Braking'!$D$19*'Pedal Char.'!$D$11&gt;'Rolling or Skidding'!N34, "SKIDDING","Rolling")</f>
        <v>SKIDDING</v>
      </c>
      <c r="O37" s="41" t="str">
        <f>IF('Rear Braking'!$D$19*'Pedal Char.'!$D$11&gt;'Rolling or Skidding'!O34, "SKIDDING","Rolling")</f>
        <v>SKIDDING</v>
      </c>
      <c r="P37" s="41" t="str">
        <f>IF('Rear Braking'!$D$19*'Pedal Char.'!$D$11&gt;'Rolling or Skidding'!P34, "SKIDDING","Rolling")</f>
        <v>SKIDDING</v>
      </c>
      <c r="Q37" s="41" t="str">
        <f>IF('Rear Braking'!$D$19*'Pedal Char.'!$D$11&gt;'Rolling or Skidding'!Q34, "SKIDDING","Rolling")</f>
        <v>SKIDDING</v>
      </c>
      <c r="R37" s="41" t="str">
        <f>IF('Rear Braking'!$D$19*'Pedal Char.'!$D$11&gt;'Rolling or Skidding'!R34, "SKIDDING","Rolling")</f>
        <v>SKIDDING</v>
      </c>
      <c r="S37" s="41" t="str">
        <f>IF('Rear Braking'!$D$19*'Pedal Char.'!$D$11&gt;'Rolling or Skidding'!S34, "SKIDDING","Rolling")</f>
        <v>SKIDDING</v>
      </c>
      <c r="T37" s="41" t="str">
        <f>IF('Rear Braking'!$D$19*'Pedal Char.'!$D$11&gt;'Rolling or Skidding'!T34, "SKIDDING","Rolling")</f>
        <v>SKIDDING</v>
      </c>
      <c r="U37" s="41" t="str">
        <f>IF('Rear Braking'!$D$19*'Pedal Char.'!$D$11&gt;'Rolling or Skidding'!U34, "SKIDDING","Rolling")</f>
        <v>SKIDDING</v>
      </c>
      <c r="V37" s="41" t="str">
        <f>IF('Rear Braking'!$D$19*'Pedal Char.'!$D$11&gt;'Rolling or Skidding'!V34, "SKIDDING","Rolling")</f>
        <v>SKIDDING</v>
      </c>
      <c r="W37" s="41" t="str">
        <f>IF('Rear Braking'!$D$19*'Pedal Char.'!$D$11&gt;'Rolling or Skidding'!W34, "SKIDDING","Rolling")</f>
        <v>SKIDDING</v>
      </c>
      <c r="X37" s="41" t="str">
        <f>IF('Rear Braking'!$D$19*'Pedal Char.'!$D$11&gt;'Rolling or Skidding'!X34, "SKIDDING","Rolling")</f>
        <v>SKIDDING</v>
      </c>
      <c r="Y37" s="41" t="str">
        <f>IF('Rear Braking'!$D$19*'Pedal Char.'!$D$11&gt;'Rolling or Skidding'!Y34, "SKIDDING","Rolling")</f>
        <v>SKIDDING</v>
      </c>
      <c r="Z37" s="41" t="str">
        <f>IF('Rear Braking'!$D$19*'Pedal Char.'!$D$11&gt;'Rolling or Skidding'!Z34, "SKIDDING","Rolling")</f>
        <v>SKIDDING</v>
      </c>
      <c r="AA37" s="41" t="str">
        <f>IF('Rear Braking'!$D$19*'Pedal Char.'!$D$11&gt;'Rolling or Skidding'!AA34, "SKIDDING","Rolling")</f>
        <v>SKIDDING</v>
      </c>
      <c r="AB37" s="41" t="str">
        <f>IF('Rear Braking'!$D$19*'Pedal Char.'!$D$11&gt;'Rolling or Skidding'!AB34, "SKIDDING","Rolling")</f>
        <v>SKIDDING</v>
      </c>
      <c r="AC37" s="41" t="str">
        <f>IF('Rear Braking'!$D$19*'Pedal Char.'!$D$11&gt;'Rolling or Skidding'!AC34, "SKIDDING","Rolling")</f>
        <v>SKIDDING</v>
      </c>
    </row>
    <row r="38" spans="2:29" x14ac:dyDescent="0.2">
      <c r="B38" s="55"/>
      <c r="C38" s="41" t="s">
        <v>74</v>
      </c>
      <c r="D38" s="41"/>
      <c r="E38" s="41">
        <f t="shared" ref="E38:J38" si="13">E36/E33</f>
        <v>0.53401458892622167</v>
      </c>
      <c r="F38" s="41">
        <f t="shared" si="13"/>
        <v>1.1431634930097607</v>
      </c>
      <c r="G38" s="41">
        <f t="shared" si="13"/>
        <v>1.166889611035842</v>
      </c>
      <c r="H38" s="41">
        <f t="shared" si="13"/>
        <v>1.166889611035842</v>
      </c>
      <c r="I38" s="41">
        <f t="shared" si="13"/>
        <v>1.166889611035842</v>
      </c>
      <c r="J38" s="41">
        <f t="shared" si="13"/>
        <v>1.166889611035842</v>
      </c>
      <c r="K38" s="41">
        <f t="shared" ref="K38:AC38" si="14">K36/K33</f>
        <v>1.166889611035842</v>
      </c>
      <c r="L38" s="41">
        <f t="shared" si="14"/>
        <v>1.166889611035842</v>
      </c>
      <c r="M38" s="41">
        <f t="shared" si="14"/>
        <v>1.1668896110358418</v>
      </c>
      <c r="N38" s="41">
        <f t="shared" si="14"/>
        <v>1.166889611035842</v>
      </c>
      <c r="O38" s="41">
        <f t="shared" si="14"/>
        <v>1.1668896110358418</v>
      </c>
      <c r="P38" s="41">
        <f t="shared" si="14"/>
        <v>1.166889611035842</v>
      </c>
      <c r="Q38" s="41">
        <f t="shared" si="14"/>
        <v>1.1668896110358418</v>
      </c>
      <c r="R38" s="41">
        <f t="shared" si="14"/>
        <v>1.166889611035842</v>
      </c>
      <c r="S38" s="41">
        <f t="shared" si="14"/>
        <v>1.166889611035842</v>
      </c>
      <c r="T38" s="41">
        <f t="shared" si="14"/>
        <v>1.1668896110358418</v>
      </c>
      <c r="U38" s="41">
        <f t="shared" si="14"/>
        <v>1.1668896110358418</v>
      </c>
      <c r="V38" s="41">
        <f t="shared" si="14"/>
        <v>1.166889611035842</v>
      </c>
      <c r="W38" s="41">
        <f t="shared" si="14"/>
        <v>1.1668896110358418</v>
      </c>
      <c r="X38" s="41">
        <f t="shared" si="14"/>
        <v>1.166889611035842</v>
      </c>
      <c r="Y38" s="41">
        <f t="shared" si="14"/>
        <v>1.1668896110358418</v>
      </c>
      <c r="Z38" s="41">
        <f t="shared" si="14"/>
        <v>1.166889611035842</v>
      </c>
      <c r="AA38" s="41">
        <f t="shared" si="14"/>
        <v>1.1668896110358418</v>
      </c>
      <c r="AB38" s="41">
        <f t="shared" si="14"/>
        <v>1.166889611035842</v>
      </c>
      <c r="AC38" s="41">
        <f t="shared" si="14"/>
        <v>1.1668896110358418</v>
      </c>
    </row>
    <row r="39" spans="2:29" x14ac:dyDescent="0.2">
      <c r="B39" s="55"/>
      <c r="C39" s="41" t="s">
        <v>160</v>
      </c>
      <c r="D39" s="41"/>
      <c r="E39" s="54">
        <f>IF((E34-'Rear Braking'!$D$19)&lt;0,0,E34-'Rear Braking'!$D$19)</f>
        <v>573.10532531244371</v>
      </c>
      <c r="F39" s="54">
        <f>IF((F34-'Rear Braking'!$D$19*'Pedal Char.'!$D$10)&lt;0,0,F34-'Rear Braking'!$D$19*'Pedal Char.'!$D$10)</f>
        <v>33.233221878197298</v>
      </c>
      <c r="G39" s="54">
        <f>IF((G34-'Rear Braking'!$D$19*'Pedal Char.'!$D$10)&lt;0,0,G34-'Rear Braking'!$D$19*'Pedal Char.'!$D$10)</f>
        <v>0</v>
      </c>
      <c r="H39" s="54">
        <f>IF((H34-'Rear Braking'!$D$19*'Pedal Char.'!$D$11)&lt;0,0,H34-'Rear Braking'!$D$19*'Pedal Char.'!$D$11)</f>
        <v>0</v>
      </c>
      <c r="I39" s="54">
        <f>IF((I34-'Rear Braking'!$D$19*'Pedal Char.'!$D$11)&lt;0,0,I34-'Rear Braking'!$D$19*'Pedal Char.'!$D$11)</f>
        <v>0</v>
      </c>
      <c r="J39" s="54">
        <f>IF((J34-'Rear Braking'!$D$19*'Pedal Char.'!$D$11)&lt;0,0,J34-'Rear Braking'!$D$19*'Pedal Char.'!$D$11)</f>
        <v>0</v>
      </c>
      <c r="K39" s="54">
        <f>IF((K34-'Rear Braking'!$D$19*'Pedal Char.'!$D$11)&lt;0,0,K34-'Rear Braking'!$D$19*'Pedal Char.'!$D$11)</f>
        <v>0</v>
      </c>
      <c r="L39" s="54">
        <f>IF((L34-'Rear Braking'!$D$19*'Pedal Char.'!$D$11)&lt;0,0,L34-'Rear Braking'!$D$19*'Pedal Char.'!$D$11)</f>
        <v>0</v>
      </c>
      <c r="M39" s="54">
        <f>IF((M34-'Rear Braking'!$D$19*'Pedal Char.'!$D$11)&lt;0,0,M34-'Rear Braking'!$D$19*'Pedal Char.'!$D$11)</f>
        <v>0</v>
      </c>
      <c r="N39" s="54">
        <f>IF((N34-'Rear Braking'!$D$19*'Pedal Char.'!$D$11)&lt;0,0,N34-'Rear Braking'!$D$19*'Pedal Char.'!$D$11)</f>
        <v>0</v>
      </c>
      <c r="O39" s="54">
        <f>IF((O34-'Rear Braking'!$D$19*'Pedal Char.'!$D$11)&lt;0,0,O34-'Rear Braking'!$D$19*'Pedal Char.'!$D$11)</f>
        <v>0</v>
      </c>
      <c r="P39" s="54">
        <f>IF((P34-'Rear Braking'!$D$19*'Pedal Char.'!$D$11)&lt;0,0,P34-'Rear Braking'!$D$19*'Pedal Char.'!$D$11)</f>
        <v>0</v>
      </c>
      <c r="Q39" s="54">
        <f>IF((Q34-'Rear Braking'!$D$19*'Pedal Char.'!$D$11)&lt;0,0,Q34-'Rear Braking'!$D$19*'Pedal Char.'!$D$11)</f>
        <v>0</v>
      </c>
      <c r="R39" s="54">
        <f>IF((R34-'Rear Braking'!$D$19*'Pedal Char.'!$D$11)&lt;0,0,R34-'Rear Braking'!$D$19*'Pedal Char.'!$D$11)</f>
        <v>0</v>
      </c>
      <c r="S39" s="54">
        <f>IF((S34-'Rear Braking'!$D$19*'Pedal Char.'!$D$11)&lt;0,0,S34-'Rear Braking'!$D$19*'Pedal Char.'!$D$11)</f>
        <v>0</v>
      </c>
      <c r="T39" s="54">
        <f>IF((T34-'Rear Braking'!$D$19*'Pedal Char.'!$D$11)&lt;0,0,T34-'Rear Braking'!$D$19*'Pedal Char.'!$D$11)</f>
        <v>0</v>
      </c>
      <c r="U39" s="54">
        <f>IF((U34-'Rear Braking'!$D$19*'Pedal Char.'!$D$11)&lt;0,0,U34-'Rear Braking'!$D$19*'Pedal Char.'!$D$11)</f>
        <v>0</v>
      </c>
      <c r="V39" s="54">
        <f>IF((V34-'Rear Braking'!$D$19*'Pedal Char.'!$D$11)&lt;0,0,V34-'Rear Braking'!$D$19*'Pedal Char.'!$D$11)</f>
        <v>0</v>
      </c>
      <c r="W39" s="54">
        <f>IF((W34-'Rear Braking'!$D$19*'Pedal Char.'!$D$11)&lt;0,0,W34-'Rear Braking'!$D$19*'Pedal Char.'!$D$11)</f>
        <v>0</v>
      </c>
      <c r="X39" s="54">
        <f>IF((X34-'Rear Braking'!$D$19*'Pedal Char.'!$D$11)&lt;0,0,X34-'Rear Braking'!$D$19*'Pedal Char.'!$D$11)</f>
        <v>0</v>
      </c>
      <c r="Y39" s="54">
        <f>IF((Y34-'Rear Braking'!$D$19*'Pedal Char.'!$D$11)&lt;0,0,Y34-'Rear Braking'!$D$19*'Pedal Char.'!$D$11)</f>
        <v>0</v>
      </c>
      <c r="Z39" s="54">
        <f>IF((Z34-'Rear Braking'!$D$19*'Pedal Char.'!$D$11)&lt;0,0,Z34-'Rear Braking'!$D$19*'Pedal Char.'!$D$11)</f>
        <v>0</v>
      </c>
      <c r="AA39" s="54">
        <f>IF((AA34-'Rear Braking'!$D$19*'Pedal Char.'!$D$11)&lt;0,0,AA34-'Rear Braking'!$D$19*'Pedal Char.'!$D$11)</f>
        <v>0</v>
      </c>
      <c r="AB39" s="54">
        <f>IF((AB34-'Rear Braking'!$D$19*'Pedal Char.'!$D$11)&lt;0,0,AB34-'Rear Braking'!$D$19*'Pedal Char.'!$D$11)</f>
        <v>0</v>
      </c>
      <c r="AC39" s="54">
        <f>IF((AC34-'Rear Braking'!$D$19*'Pedal Char.'!$D$11)&lt;0,0,AC34-'Rear Braking'!$D$19*'Pedal Char.'!$D$11)</f>
        <v>0</v>
      </c>
    </row>
    <row r="40" spans="2:29" x14ac:dyDescent="0.2">
      <c r="B40" s="55"/>
      <c r="C40" s="41" t="s">
        <v>161</v>
      </c>
      <c r="D40" s="41"/>
      <c r="E40" s="54">
        <f>AVERAGE(N39:AC39)</f>
        <v>0</v>
      </c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</row>
    <row r="41" spans="2:29" x14ac:dyDescent="0.2">
      <c r="B41" s="55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</row>
    <row r="42" spans="2:29" x14ac:dyDescent="0.2">
      <c r="B42" s="55"/>
      <c r="C42" s="41" t="s">
        <v>76</v>
      </c>
      <c r="D42" s="41">
        <f>(E6+E15+E24+E33)/9.81</f>
        <v>280</v>
      </c>
      <c r="E42" s="41">
        <f t="shared" ref="E42:AC42" si="15">(E6+E15+E24+E33)</f>
        <v>2746.8</v>
      </c>
      <c r="F42" s="41">
        <f t="shared" si="15"/>
        <v>2746.7999999999997</v>
      </c>
      <c r="G42" s="41">
        <f t="shared" si="15"/>
        <v>2746.8</v>
      </c>
      <c r="H42" s="41">
        <f t="shared" si="15"/>
        <v>2746.8</v>
      </c>
      <c r="I42" s="41">
        <f t="shared" si="15"/>
        <v>2746.8</v>
      </c>
      <c r="J42" s="41">
        <f t="shared" si="15"/>
        <v>2746.8</v>
      </c>
      <c r="K42" s="41">
        <f t="shared" si="15"/>
        <v>2746.8</v>
      </c>
      <c r="L42" s="41">
        <f t="shared" si="15"/>
        <v>2746.8</v>
      </c>
      <c r="M42" s="41">
        <f t="shared" si="15"/>
        <v>2746.8</v>
      </c>
      <c r="N42" s="41">
        <f t="shared" si="15"/>
        <v>2746.8</v>
      </c>
      <c r="O42" s="41">
        <f t="shared" si="15"/>
        <v>2746.8</v>
      </c>
      <c r="P42" s="41">
        <f t="shared" si="15"/>
        <v>2746.8</v>
      </c>
      <c r="Q42" s="41">
        <f t="shared" si="15"/>
        <v>2746.8</v>
      </c>
      <c r="R42" s="41">
        <f t="shared" si="15"/>
        <v>2746.8</v>
      </c>
      <c r="S42" s="41">
        <f t="shared" si="15"/>
        <v>2746.8</v>
      </c>
      <c r="T42" s="41">
        <f t="shared" si="15"/>
        <v>2746.8</v>
      </c>
      <c r="U42" s="41">
        <f t="shared" si="15"/>
        <v>2746.8</v>
      </c>
      <c r="V42" s="41">
        <f t="shared" si="15"/>
        <v>2746.8</v>
      </c>
      <c r="W42" s="41">
        <f t="shared" si="15"/>
        <v>2746.8</v>
      </c>
      <c r="X42" s="41">
        <f t="shared" si="15"/>
        <v>2746.8</v>
      </c>
      <c r="Y42" s="41">
        <f t="shared" si="15"/>
        <v>2746.8</v>
      </c>
      <c r="Z42" s="41">
        <f t="shared" si="15"/>
        <v>2746.8</v>
      </c>
      <c r="AA42" s="41">
        <f t="shared" si="15"/>
        <v>2746.8</v>
      </c>
      <c r="AB42" s="41">
        <f t="shared" si="15"/>
        <v>2746.8</v>
      </c>
      <c r="AC42" s="41">
        <f t="shared" si="15"/>
        <v>2746.8</v>
      </c>
    </row>
    <row r="43" spans="2:29" x14ac:dyDescent="0.2">
      <c r="B43" s="56"/>
      <c r="C43" s="41" t="s">
        <v>87</v>
      </c>
      <c r="D43" s="41"/>
      <c r="E43" s="41">
        <f t="shared" ref="E43:AC43" si="16">AVERAGE(E11,E20,E29,E38)</f>
        <v>0.66751823615777706</v>
      </c>
      <c r="F43" s="41">
        <f t="shared" si="16"/>
        <v>0.79417517078042144</v>
      </c>
      <c r="G43" s="41">
        <f t="shared" si="16"/>
        <v>0.78873458868621737</v>
      </c>
      <c r="H43" s="41">
        <f t="shared" si="16"/>
        <v>0.78942238765311989</v>
      </c>
      <c r="I43" s="41">
        <f t="shared" si="16"/>
        <v>0.78933518165012495</v>
      </c>
      <c r="J43" s="41">
        <f t="shared" si="16"/>
        <v>0.7893462344077975</v>
      </c>
      <c r="K43" s="41">
        <f t="shared" si="16"/>
        <v>0.78934483348154449</v>
      </c>
      <c r="L43" s="41">
        <f t="shared" si="16"/>
        <v>0.78934501104652544</v>
      </c>
      <c r="M43" s="41">
        <f t="shared" si="16"/>
        <v>0.7893449885404541</v>
      </c>
      <c r="N43" s="41">
        <f t="shared" si="16"/>
        <v>0.78934499139306169</v>
      </c>
      <c r="O43" s="41">
        <f t="shared" si="16"/>
        <v>0.78934499103149824</v>
      </c>
      <c r="P43" s="41">
        <f t="shared" si="16"/>
        <v>0.78934499107732592</v>
      </c>
      <c r="Q43" s="41">
        <f t="shared" si="16"/>
        <v>0.78934499107151723</v>
      </c>
      <c r="R43" s="41">
        <f t="shared" si="16"/>
        <v>0.78934499107225364</v>
      </c>
      <c r="S43" s="41">
        <f t="shared" si="16"/>
        <v>0.78934499107216027</v>
      </c>
      <c r="T43" s="41">
        <f t="shared" si="16"/>
        <v>0.78934499107217193</v>
      </c>
      <c r="U43" s="41">
        <f t="shared" si="16"/>
        <v>0.78934499107217049</v>
      </c>
      <c r="V43" s="41">
        <f t="shared" si="16"/>
        <v>0.78934499107217082</v>
      </c>
      <c r="W43" s="41">
        <f t="shared" si="16"/>
        <v>0.7893449910721706</v>
      </c>
      <c r="X43" s="41">
        <f t="shared" si="16"/>
        <v>0.78934499107217082</v>
      </c>
      <c r="Y43" s="41">
        <f t="shared" si="16"/>
        <v>0.7893449910721706</v>
      </c>
      <c r="Z43" s="41">
        <f t="shared" si="16"/>
        <v>0.78934499107217082</v>
      </c>
      <c r="AA43" s="41">
        <f t="shared" si="16"/>
        <v>0.7893449910721706</v>
      </c>
      <c r="AB43" s="41">
        <f t="shared" si="16"/>
        <v>0.78934499107217082</v>
      </c>
      <c r="AC43" s="41">
        <f t="shared" si="16"/>
        <v>0.7893449910721706</v>
      </c>
    </row>
    <row r="44" spans="2:29" x14ac:dyDescent="0.2">
      <c r="B44" s="55"/>
      <c r="C44" s="41" t="s">
        <v>88</v>
      </c>
      <c r="D44" s="41"/>
      <c r="E44" s="54">
        <f>AVERAGE($N$43:$AC$43)</f>
        <v>0.78934499108997014</v>
      </c>
      <c r="F44" s="54">
        <f t="shared" ref="F44:AC44" si="17">AVERAGE($N$43:$AC$43)</f>
        <v>0.78934499108997014</v>
      </c>
      <c r="G44" s="54">
        <f t="shared" si="17"/>
        <v>0.78934499108997014</v>
      </c>
      <c r="H44" s="54">
        <f t="shared" si="17"/>
        <v>0.78934499108997014</v>
      </c>
      <c r="I44" s="54">
        <f t="shared" si="17"/>
        <v>0.78934499108997014</v>
      </c>
      <c r="J44" s="54">
        <f t="shared" si="17"/>
        <v>0.78934499108997014</v>
      </c>
      <c r="K44" s="54">
        <f t="shared" si="17"/>
        <v>0.78934499108997014</v>
      </c>
      <c r="L44" s="54">
        <f t="shared" si="17"/>
        <v>0.78934499108997014</v>
      </c>
      <c r="M44" s="54">
        <f t="shared" si="17"/>
        <v>0.78934499108997014</v>
      </c>
      <c r="N44" s="54">
        <f t="shared" si="17"/>
        <v>0.78934499108997014</v>
      </c>
      <c r="O44" s="54">
        <f t="shared" si="17"/>
        <v>0.78934499108997014</v>
      </c>
      <c r="P44" s="54">
        <f t="shared" si="17"/>
        <v>0.78934499108997014</v>
      </c>
      <c r="Q44" s="54">
        <f t="shared" si="17"/>
        <v>0.78934499108997014</v>
      </c>
      <c r="R44" s="54">
        <f t="shared" si="17"/>
        <v>0.78934499108997014</v>
      </c>
      <c r="S44" s="54">
        <f t="shared" si="17"/>
        <v>0.78934499108997014</v>
      </c>
      <c r="T44" s="54">
        <f t="shared" si="17"/>
        <v>0.78934499108997014</v>
      </c>
      <c r="U44" s="54">
        <f t="shared" si="17"/>
        <v>0.78934499108997014</v>
      </c>
      <c r="V44" s="54">
        <f t="shared" si="17"/>
        <v>0.78934499108997014</v>
      </c>
      <c r="W44" s="54">
        <f t="shared" si="17"/>
        <v>0.78934499108997014</v>
      </c>
      <c r="X44" s="54">
        <f t="shared" si="17"/>
        <v>0.78934499108997014</v>
      </c>
      <c r="Y44" s="54">
        <f t="shared" si="17"/>
        <v>0.78934499108997014</v>
      </c>
      <c r="Z44" s="54">
        <f t="shared" si="17"/>
        <v>0.78934499108997014</v>
      </c>
      <c r="AA44" s="54">
        <f t="shared" si="17"/>
        <v>0.78934499108997014</v>
      </c>
      <c r="AB44" s="54">
        <f t="shared" si="17"/>
        <v>0.78934499108997014</v>
      </c>
      <c r="AC44" s="54">
        <f t="shared" si="17"/>
        <v>0.78934499108997014</v>
      </c>
    </row>
    <row r="45" spans="2:29" x14ac:dyDescent="0.2">
      <c r="B45" s="55"/>
      <c r="C45" s="41" t="s">
        <v>89</v>
      </c>
      <c r="D45" s="41"/>
      <c r="E45" s="41">
        <f t="shared" ref="E45:AC45" si="18">(E9+E18+E27+E36)/E42</f>
        <v>0.64081750671146598</v>
      </c>
      <c r="F45" s="41">
        <f t="shared" si="18"/>
        <v>0.64081750671146609</v>
      </c>
      <c r="G45" s="41">
        <f t="shared" si="18"/>
        <v>0.57667914163843315</v>
      </c>
      <c r="H45" s="41">
        <f t="shared" si="18"/>
        <v>0.57971987526661972</v>
      </c>
      <c r="I45" s="41">
        <f t="shared" si="18"/>
        <v>0.57933546539799186</v>
      </c>
      <c r="J45" s="41">
        <f t="shared" si="18"/>
        <v>0.57938420470957552</v>
      </c>
      <c r="K45" s="41">
        <f t="shared" si="18"/>
        <v>0.57937802733896393</v>
      </c>
      <c r="L45" s="41">
        <f t="shared" si="18"/>
        <v>0.57937881031466287</v>
      </c>
      <c r="M45" s="41">
        <f t="shared" si="18"/>
        <v>0.57937871107384653</v>
      </c>
      <c r="N45" s="41">
        <f t="shared" si="18"/>
        <v>0.57937872365245779</v>
      </c>
      <c r="O45" s="41">
        <f t="shared" si="18"/>
        <v>0.57937872205813945</v>
      </c>
      <c r="P45" s="41">
        <f t="shared" si="18"/>
        <v>0.57937872226021681</v>
      </c>
      <c r="Q45" s="41">
        <f t="shared" si="18"/>
        <v>0.57937872223460374</v>
      </c>
      <c r="R45" s="41">
        <f t="shared" si="18"/>
        <v>0.57937872223785025</v>
      </c>
      <c r="S45" s="41">
        <f t="shared" si="18"/>
        <v>0.57937872223743869</v>
      </c>
      <c r="T45" s="41">
        <f t="shared" si="18"/>
        <v>0.57937872223749076</v>
      </c>
      <c r="U45" s="41">
        <f t="shared" si="18"/>
        <v>0.57937872223748443</v>
      </c>
      <c r="V45" s="41">
        <f t="shared" si="18"/>
        <v>0.57937872223748521</v>
      </c>
      <c r="W45" s="41">
        <f t="shared" si="18"/>
        <v>0.57937872223748488</v>
      </c>
      <c r="X45" s="41">
        <f t="shared" si="18"/>
        <v>0.5793787222374851</v>
      </c>
      <c r="Y45" s="41">
        <f t="shared" si="18"/>
        <v>0.57937872223748488</v>
      </c>
      <c r="Z45" s="41">
        <f t="shared" si="18"/>
        <v>0.5793787222374851</v>
      </c>
      <c r="AA45" s="41">
        <f t="shared" si="18"/>
        <v>0.57937872223748488</v>
      </c>
      <c r="AB45" s="41">
        <f t="shared" si="18"/>
        <v>0.5793787222374851</v>
      </c>
      <c r="AC45" s="41">
        <f t="shared" si="18"/>
        <v>0.57937872223748488</v>
      </c>
    </row>
    <row r="46" spans="2:29" x14ac:dyDescent="0.2">
      <c r="B46" s="55"/>
      <c r="C46" s="41" t="s">
        <v>90</v>
      </c>
      <c r="D46" s="41"/>
      <c r="E46" s="54">
        <f>AVERAGE($E$45:$AC$45)</f>
        <v>0.58419795224874338</v>
      </c>
      <c r="F46" s="54">
        <f t="shared" ref="F46:AC46" si="19">AVERAGE($E$45:$AC$45)</f>
        <v>0.58419795224874338</v>
      </c>
      <c r="G46" s="54">
        <f t="shared" si="19"/>
        <v>0.58419795224874338</v>
      </c>
      <c r="H46" s="54">
        <f t="shared" si="19"/>
        <v>0.58419795224874338</v>
      </c>
      <c r="I46" s="54">
        <f t="shared" si="19"/>
        <v>0.58419795224874338</v>
      </c>
      <c r="J46" s="54">
        <f t="shared" si="19"/>
        <v>0.58419795224874338</v>
      </c>
      <c r="K46" s="54">
        <f t="shared" si="19"/>
        <v>0.58419795224874338</v>
      </c>
      <c r="L46" s="54">
        <f t="shared" si="19"/>
        <v>0.58419795224874338</v>
      </c>
      <c r="M46" s="54">
        <f t="shared" si="19"/>
        <v>0.58419795224874338</v>
      </c>
      <c r="N46" s="54">
        <f t="shared" si="19"/>
        <v>0.58419795224874338</v>
      </c>
      <c r="O46" s="54">
        <f t="shared" si="19"/>
        <v>0.58419795224874338</v>
      </c>
      <c r="P46" s="54">
        <f t="shared" si="19"/>
        <v>0.58419795224874338</v>
      </c>
      <c r="Q46" s="54">
        <f t="shared" si="19"/>
        <v>0.58419795224874338</v>
      </c>
      <c r="R46" s="54">
        <f t="shared" si="19"/>
        <v>0.58419795224874338</v>
      </c>
      <c r="S46" s="54">
        <f t="shared" si="19"/>
        <v>0.58419795224874338</v>
      </c>
      <c r="T46" s="54">
        <f t="shared" si="19"/>
        <v>0.58419795224874338</v>
      </c>
      <c r="U46" s="54">
        <f t="shared" si="19"/>
        <v>0.58419795224874338</v>
      </c>
      <c r="V46" s="54">
        <f t="shared" si="19"/>
        <v>0.58419795224874338</v>
      </c>
      <c r="W46" s="54">
        <f t="shared" si="19"/>
        <v>0.58419795224874338</v>
      </c>
      <c r="X46" s="54">
        <f t="shared" si="19"/>
        <v>0.58419795224874338</v>
      </c>
      <c r="Y46" s="54">
        <f t="shared" si="19"/>
        <v>0.58419795224874338</v>
      </c>
      <c r="Z46" s="54">
        <f t="shared" si="19"/>
        <v>0.58419795224874338</v>
      </c>
      <c r="AA46" s="54">
        <f t="shared" si="19"/>
        <v>0.58419795224874338</v>
      </c>
      <c r="AB46" s="54">
        <f t="shared" si="19"/>
        <v>0.58419795224874338</v>
      </c>
      <c r="AC46" s="54">
        <f t="shared" si="19"/>
        <v>0.58419795224874338</v>
      </c>
    </row>
    <row r="47" spans="2:29" x14ac:dyDescent="0.2">
      <c r="B47" s="55"/>
      <c r="C47" s="41" t="s">
        <v>31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</row>
    <row r="48" spans="2:29" x14ac:dyDescent="0.2">
      <c r="B48" s="55"/>
      <c r="C48" s="41" t="s">
        <v>61</v>
      </c>
      <c r="D48" s="41"/>
      <c r="E48" s="41">
        <f>E43*E42*'Veh. Parameters'!$C$12/'Veh. Parameters'!$C$11</f>
        <v>439.09997650416011</v>
      </c>
      <c r="F48" s="41">
        <f>F43*F42*'Veh. Parameters'!$C$12/'Veh. Parameters'!$C$11</f>
        <v>522.41613777791235</v>
      </c>
      <c r="G48" s="41">
        <f>G43*G42*'Veh. Parameters'!$C$12/'Veh. Parameters'!$C$11</f>
        <v>518.83727005515971</v>
      </c>
      <c r="H48" s="41">
        <f>H43*H42*'Veh. Parameters'!$C$12/'Veh. Parameters'!$C$11</f>
        <v>519.28971089324807</v>
      </c>
      <c r="I48" s="41">
        <f>I43*I42*'Veh. Parameters'!$C$12/'Veh. Parameters'!$C$11</f>
        <v>519.23234593781785</v>
      </c>
      <c r="J48" s="41">
        <f>J43*J42*'Veh. Parameters'!$C$12/'Veh. Parameters'!$C$11</f>
        <v>519.23961654912307</v>
      </c>
      <c r="K48" s="41">
        <f>K43*K42*'Veh. Parameters'!$C$12/'Veh. Parameters'!$C$11</f>
        <v>519.23869500623277</v>
      </c>
      <c r="L48" s="41">
        <f>L43*L42*'Veh. Parameters'!$C$12/'Veh. Parameters'!$C$11</f>
        <v>519.23881181020101</v>
      </c>
      <c r="M48" s="41">
        <f>M43*M42*'Veh. Parameters'!$C$12/'Veh. Parameters'!$C$11</f>
        <v>519.23879700548889</v>
      </c>
      <c r="N48" s="41">
        <f>N43*N42*'Veh. Parameters'!$C$12/'Veh. Parameters'!$C$11</f>
        <v>519.23879888196177</v>
      </c>
      <c r="O48" s="41">
        <f>O43*O42*'Veh. Parameters'!$C$12/'Veh. Parameters'!$C$11</f>
        <v>519.23879864412186</v>
      </c>
      <c r="P48" s="41">
        <f>P43*P42*'Veh. Parameters'!$C$12/'Veh. Parameters'!$C$11</f>
        <v>519.23879867426774</v>
      </c>
      <c r="Q48" s="41">
        <f>Q43*Q42*'Veh. Parameters'!$C$12/'Veh. Parameters'!$C$11</f>
        <v>519.23879867044673</v>
      </c>
      <c r="R48" s="41">
        <f>R43*R42*'Veh. Parameters'!$C$12/'Veh. Parameters'!$C$11</f>
        <v>519.23879867093115</v>
      </c>
      <c r="S48" s="41">
        <f>S43*S42*'Veh. Parameters'!$C$12/'Veh. Parameters'!$C$11</f>
        <v>519.23879867086976</v>
      </c>
      <c r="T48" s="41">
        <f>T43*T42*'Veh. Parameters'!$C$12/'Veh. Parameters'!$C$11</f>
        <v>519.23879867087737</v>
      </c>
      <c r="U48" s="41">
        <f>U43*U42*'Veh. Parameters'!$C$12/'Veh. Parameters'!$C$11</f>
        <v>519.23879867087635</v>
      </c>
      <c r="V48" s="41">
        <f>V43*V42*'Veh. Parameters'!$C$12/'Veh. Parameters'!$C$11</f>
        <v>519.23879867087669</v>
      </c>
      <c r="W48" s="41">
        <f>W43*W42*'Veh. Parameters'!$C$12/'Veh. Parameters'!$C$11</f>
        <v>519.23879867087646</v>
      </c>
      <c r="X48" s="41">
        <f>X43*X42*'Veh. Parameters'!$C$12/'Veh. Parameters'!$C$11</f>
        <v>519.23879867087669</v>
      </c>
      <c r="Y48" s="41">
        <f>Y43*Y42*'Veh. Parameters'!$C$12/'Veh. Parameters'!$C$11</f>
        <v>519.23879867087646</v>
      </c>
      <c r="Z48" s="41">
        <f>Z43*Z42*'Veh. Parameters'!$C$12/'Veh. Parameters'!$C$11</f>
        <v>519.23879867087669</v>
      </c>
      <c r="AA48" s="41">
        <f>AA43*AA42*'Veh. Parameters'!$C$12/'Veh. Parameters'!$C$11</f>
        <v>519.23879867087646</v>
      </c>
      <c r="AB48" s="41">
        <f>AB43*AB42*'Veh. Parameters'!$C$12/'Veh. Parameters'!$C$11</f>
        <v>519.23879867087669</v>
      </c>
      <c r="AC48" s="41">
        <f>AC43*AC42*'Veh. Parameters'!$C$12/'Veh. Parameters'!$C$11</f>
        <v>519.23879867087646</v>
      </c>
    </row>
  </sheetData>
  <mergeCells count="1">
    <mergeCell ref="B2:K2"/>
  </mergeCells>
  <phoneticPr fontId="2" type="noConversion"/>
  <conditionalFormatting sqref="E10:AC10 E19:AC19 E28:AC28 E37:AC37">
    <cfRule type="cellIs" dxfId="1" priority="1" stopIfTrue="1" operator="equal">
      <formula>"SKIDDING"</formula>
    </cfRule>
    <cfRule type="cellIs" dxfId="0" priority="2" stopIfTrue="1" operator="equal">
      <formula>"Rolling"</formula>
    </cfRule>
  </conditionalFormatting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AA279"/>
  <sheetViews>
    <sheetView zoomScaleNormal="100" workbookViewId="0">
      <pane ySplit="1" topLeftCell="A32" activePane="bottomLeft" state="frozen"/>
      <selection pane="bottomLeft" activeCell="K4" sqref="K4"/>
    </sheetView>
  </sheetViews>
  <sheetFormatPr defaultRowHeight="12.75" x14ac:dyDescent="0.2"/>
  <cols>
    <col min="1" max="1" width="12.85546875" style="1" customWidth="1"/>
    <col min="2" max="2" width="12.5703125" style="1" bestFit="1" customWidth="1"/>
    <col min="3" max="3" width="10.7109375" style="1" bestFit="1" customWidth="1"/>
    <col min="4" max="4" width="12.5703125" style="1" bestFit="1" customWidth="1"/>
    <col min="5" max="5" width="17.85546875" style="1" bestFit="1" customWidth="1"/>
    <col min="6" max="6" width="9.140625" style="1"/>
    <col min="7" max="7" width="10.7109375" style="1" bestFit="1" customWidth="1"/>
    <col min="8" max="8" width="17.85546875" style="1" bestFit="1" customWidth="1"/>
    <col min="9" max="16384" width="9.140625" style="1"/>
  </cols>
  <sheetData>
    <row r="1" spans="1:27" ht="63.95" customHeight="1" x14ac:dyDescent="0.2"/>
    <row r="2" spans="1:27" x14ac:dyDescent="0.2">
      <c r="A2" s="1" t="s">
        <v>112</v>
      </c>
      <c r="B2" s="3" t="s">
        <v>121</v>
      </c>
      <c r="G2" s="1" t="s">
        <v>113</v>
      </c>
      <c r="H2" s="1" t="s">
        <v>114</v>
      </c>
    </row>
    <row r="3" spans="1:27" x14ac:dyDescent="0.2">
      <c r="G3" s="14" t="s">
        <v>115</v>
      </c>
      <c r="H3" s="1" t="s">
        <v>116</v>
      </c>
    </row>
    <row r="4" spans="1:27" x14ac:dyDescent="0.2">
      <c r="B4" s="3" t="s">
        <v>120</v>
      </c>
      <c r="G4" s="1" t="s">
        <v>117</v>
      </c>
      <c r="H4" s="1" t="s">
        <v>118</v>
      </c>
    </row>
    <row r="5" spans="1:27" x14ac:dyDescent="0.2">
      <c r="G5" s="14" t="s">
        <v>115</v>
      </c>
      <c r="H5" s="1" t="s">
        <v>119</v>
      </c>
    </row>
    <row r="6" spans="1:27" x14ac:dyDescent="0.2">
      <c r="A6" s="6" t="s">
        <v>202</v>
      </c>
      <c r="B6" s="1">
        <v>0.23499999999999999</v>
      </c>
    </row>
    <row r="7" spans="1:27" x14ac:dyDescent="0.2">
      <c r="A7" s="6"/>
    </row>
    <row r="8" spans="1:27" x14ac:dyDescent="0.2">
      <c r="A8" s="6" t="s">
        <v>228</v>
      </c>
    </row>
    <row r="9" spans="1:27" x14ac:dyDescent="0.2">
      <c r="A9" s="16" t="s">
        <v>203</v>
      </c>
      <c r="B9" s="1">
        <v>5.3</v>
      </c>
      <c r="C9" s="1">
        <v>5.3</v>
      </c>
      <c r="D9" s="1">
        <v>5.3</v>
      </c>
      <c r="E9" s="1">
        <v>5.3</v>
      </c>
      <c r="F9" s="1">
        <v>5.3</v>
      </c>
      <c r="G9" s="1">
        <v>5.3</v>
      </c>
      <c r="H9" s="1">
        <v>5.3</v>
      </c>
      <c r="I9" s="1">
        <v>5.3</v>
      </c>
      <c r="J9" s="1">
        <v>5.3</v>
      </c>
      <c r="K9" s="1">
        <v>5.3</v>
      </c>
      <c r="L9" s="1">
        <v>5.3</v>
      </c>
      <c r="M9" s="1">
        <v>5.3</v>
      </c>
      <c r="N9" s="1">
        <v>5.3</v>
      </c>
      <c r="O9" s="1">
        <v>5.3</v>
      </c>
      <c r="P9" s="1">
        <v>5.3</v>
      </c>
      <c r="Q9" s="1">
        <v>5.3</v>
      </c>
      <c r="R9" s="1">
        <v>5.3</v>
      </c>
      <c r="S9" s="1">
        <v>5.3</v>
      </c>
      <c r="T9" s="1">
        <v>5.3</v>
      </c>
      <c r="U9" s="1">
        <v>5.3</v>
      </c>
      <c r="V9" s="1">
        <v>5.3</v>
      </c>
      <c r="W9" s="1">
        <v>5.3</v>
      </c>
      <c r="X9" s="1">
        <v>5.3</v>
      </c>
      <c r="Y9" s="1">
        <v>5.3</v>
      </c>
      <c r="Z9" s="1">
        <v>5.3</v>
      </c>
    </row>
    <row r="10" spans="1:27" x14ac:dyDescent="0.2">
      <c r="A10" s="17" t="s">
        <v>204</v>
      </c>
      <c r="B10" s="1">
        <f>'Tyre Char.'!$D$3</f>
        <v>1.5</v>
      </c>
      <c r="C10" s="1">
        <f>'Tyre Char.'!$D$3</f>
        <v>1.5</v>
      </c>
      <c r="D10" s="1">
        <f>'Tyre Char.'!$D$3</f>
        <v>1.5</v>
      </c>
      <c r="E10" s="1">
        <f>'Tyre Char.'!$D$3</f>
        <v>1.5</v>
      </c>
      <c r="F10" s="1">
        <f>'Tyre Char.'!$D$3</f>
        <v>1.5</v>
      </c>
      <c r="G10" s="1">
        <f>'Tyre Char.'!$D$3</f>
        <v>1.5</v>
      </c>
      <c r="H10" s="1">
        <f>'Tyre Char.'!$D$3</f>
        <v>1.5</v>
      </c>
      <c r="I10" s="1">
        <f>'Tyre Char.'!$D$3</f>
        <v>1.5</v>
      </c>
      <c r="J10" s="1">
        <f>'Tyre Char.'!$D$3</f>
        <v>1.5</v>
      </c>
      <c r="K10" s="1">
        <f>'Tyre Char.'!$D$3</f>
        <v>1.5</v>
      </c>
      <c r="L10" s="1">
        <f>'Tyre Char.'!$D$3</f>
        <v>1.5</v>
      </c>
      <c r="M10" s="1">
        <f>'Tyre Char.'!$D$3</f>
        <v>1.5</v>
      </c>
      <c r="N10" s="1">
        <f>'Tyre Char.'!$D$3</f>
        <v>1.5</v>
      </c>
      <c r="O10" s="1">
        <f>'Tyre Char.'!$D$3</f>
        <v>1.5</v>
      </c>
      <c r="P10" s="1">
        <f>'Tyre Char.'!$D$3</f>
        <v>1.5</v>
      </c>
      <c r="Q10" s="1">
        <f>'Tyre Char.'!$D$3</f>
        <v>1.5</v>
      </c>
      <c r="R10" s="1">
        <f>'Tyre Char.'!$D$3</f>
        <v>1.5</v>
      </c>
      <c r="S10" s="1">
        <f>'Tyre Char.'!$D$3</f>
        <v>1.5</v>
      </c>
      <c r="T10" s="1">
        <f>'Tyre Char.'!$D$3</f>
        <v>1.5</v>
      </c>
      <c r="U10" s="1">
        <f>'Tyre Char.'!$D$3</f>
        <v>1.5</v>
      </c>
      <c r="V10" s="1">
        <f>'Tyre Char.'!$D$3</f>
        <v>1.5</v>
      </c>
      <c r="W10" s="1">
        <f>'Tyre Char.'!$D$3</f>
        <v>1.5</v>
      </c>
      <c r="X10" s="1">
        <f>'Tyre Char.'!$D$3</f>
        <v>1.5</v>
      </c>
      <c r="Y10" s="1">
        <f>'Tyre Char.'!$D$3</f>
        <v>1.5</v>
      </c>
      <c r="Z10" s="1">
        <f>'Tyre Char.'!$D$3</f>
        <v>1.5</v>
      </c>
    </row>
    <row r="11" spans="1:27" x14ac:dyDescent="0.2">
      <c r="A11" s="17" t="s">
        <v>205</v>
      </c>
      <c r="B11" s="1">
        <f t="shared" ref="B11:Z11" si="0">B10/180*PI()</f>
        <v>2.6179938779914941E-2</v>
      </c>
      <c r="C11" s="1">
        <f t="shared" si="0"/>
        <v>2.6179938779914941E-2</v>
      </c>
      <c r="D11" s="1">
        <f t="shared" si="0"/>
        <v>2.6179938779914941E-2</v>
      </c>
      <c r="E11" s="1">
        <f t="shared" si="0"/>
        <v>2.6179938779914941E-2</v>
      </c>
      <c r="F11" s="1">
        <f t="shared" si="0"/>
        <v>2.6179938779914941E-2</v>
      </c>
      <c r="G11" s="1">
        <f t="shared" si="0"/>
        <v>2.6179938779914941E-2</v>
      </c>
      <c r="H11" s="1">
        <f t="shared" si="0"/>
        <v>2.6179938779914941E-2</v>
      </c>
      <c r="I11" s="1">
        <f t="shared" si="0"/>
        <v>2.6179938779914941E-2</v>
      </c>
      <c r="J11" s="1">
        <f t="shared" si="0"/>
        <v>2.6179938779914941E-2</v>
      </c>
      <c r="K11" s="1">
        <f t="shared" si="0"/>
        <v>2.6179938779914941E-2</v>
      </c>
      <c r="L11" s="1">
        <f t="shared" si="0"/>
        <v>2.6179938779914941E-2</v>
      </c>
      <c r="M11" s="1">
        <f t="shared" si="0"/>
        <v>2.6179938779914941E-2</v>
      </c>
      <c r="N11" s="1">
        <f t="shared" si="0"/>
        <v>2.6179938779914941E-2</v>
      </c>
      <c r="O11" s="1">
        <f t="shared" si="0"/>
        <v>2.6179938779914941E-2</v>
      </c>
      <c r="P11" s="1">
        <f t="shared" si="0"/>
        <v>2.6179938779914941E-2</v>
      </c>
      <c r="Q11" s="1">
        <f t="shared" si="0"/>
        <v>2.6179938779914941E-2</v>
      </c>
      <c r="R11" s="1">
        <f t="shared" si="0"/>
        <v>2.6179938779914941E-2</v>
      </c>
      <c r="S11" s="1">
        <f t="shared" si="0"/>
        <v>2.6179938779914941E-2</v>
      </c>
      <c r="T11" s="1">
        <f t="shared" si="0"/>
        <v>2.6179938779914941E-2</v>
      </c>
      <c r="U11" s="1">
        <f t="shared" si="0"/>
        <v>2.6179938779914941E-2</v>
      </c>
      <c r="V11" s="1">
        <f t="shared" si="0"/>
        <v>2.6179938779914941E-2</v>
      </c>
      <c r="W11" s="1">
        <f t="shared" si="0"/>
        <v>2.6179938779914941E-2</v>
      </c>
      <c r="X11" s="1">
        <f t="shared" si="0"/>
        <v>2.6179938779914941E-2</v>
      </c>
      <c r="Y11" s="1">
        <f t="shared" si="0"/>
        <v>2.6179938779914941E-2</v>
      </c>
      <c r="Z11" s="1">
        <f t="shared" si="0"/>
        <v>2.6179938779914941E-2</v>
      </c>
    </row>
    <row r="12" spans="1:27" x14ac:dyDescent="0.2">
      <c r="A12" s="17" t="s">
        <v>206</v>
      </c>
      <c r="B12" s="9">
        <f>'Rolling or Skidding'!E$6</f>
        <v>549.36</v>
      </c>
      <c r="C12" s="9">
        <f>'Rolling or Skidding'!F$6</f>
        <v>988.45997650416007</v>
      </c>
      <c r="D12" s="9">
        <f>'Rolling or Skidding'!G$6</f>
        <v>1071.7761377779125</v>
      </c>
      <c r="E12" s="9">
        <f>'Rolling or Skidding'!H$6</f>
        <v>1068.1972700551596</v>
      </c>
      <c r="F12" s="9">
        <f>'Rolling or Skidding'!I$6</f>
        <v>1068.6497108932481</v>
      </c>
      <c r="G12" s="9">
        <f>'Rolling or Skidding'!J$6</f>
        <v>1068.5923459378178</v>
      </c>
      <c r="H12" s="9">
        <f>'Rolling or Skidding'!K$6</f>
        <v>1068.5996165491231</v>
      </c>
      <c r="I12" s="9">
        <f>'Rolling or Skidding'!L$6</f>
        <v>1068.5986950062329</v>
      </c>
      <c r="J12" s="9">
        <f>'Rolling or Skidding'!M$6</f>
        <v>1068.5988118102009</v>
      </c>
      <c r="K12" s="9">
        <f>'Rolling or Skidding'!N$6</f>
        <v>1068.5987970054889</v>
      </c>
      <c r="L12" s="9">
        <f>'Rolling or Skidding'!O$6</f>
        <v>1068.5987988819618</v>
      </c>
      <c r="M12" s="9">
        <f>'Rolling or Skidding'!P$6</f>
        <v>1068.5987986441219</v>
      </c>
      <c r="N12" s="9">
        <f>'Rolling or Skidding'!Q$6</f>
        <v>1068.5987986742678</v>
      </c>
      <c r="O12" s="9">
        <f>'Rolling or Skidding'!R$6</f>
        <v>1068.5987986704467</v>
      </c>
      <c r="P12" s="9">
        <f>'Rolling or Skidding'!S$6</f>
        <v>1068.598798670931</v>
      </c>
      <c r="Q12" s="9">
        <f>'Rolling or Skidding'!T$6</f>
        <v>1068.5987986708697</v>
      </c>
      <c r="R12" s="9">
        <f>'Rolling or Skidding'!U$6</f>
        <v>1068.5987986708774</v>
      </c>
      <c r="S12" s="9">
        <f>'Rolling or Skidding'!V$6</f>
        <v>1068.5987986708765</v>
      </c>
      <c r="T12" s="9">
        <f>'Rolling or Skidding'!W$6</f>
        <v>1068.5987986708767</v>
      </c>
      <c r="U12" s="9">
        <f>'Rolling or Skidding'!X$6</f>
        <v>1068.5987986708765</v>
      </c>
      <c r="V12" s="9">
        <f>'Rolling or Skidding'!Y$6</f>
        <v>1068.5987986708767</v>
      </c>
      <c r="W12" s="9">
        <f>'Rolling or Skidding'!Z$6</f>
        <v>1068.5987986708765</v>
      </c>
      <c r="X12" s="9">
        <f>'Rolling or Skidding'!AA$6</f>
        <v>1068.5987986708767</v>
      </c>
      <c r="Y12" s="9">
        <f>'Rolling or Skidding'!AB$6</f>
        <v>1068.5987986708765</v>
      </c>
      <c r="Z12" s="9">
        <f>'Rolling or Skidding'!AC$6</f>
        <v>1068.5987986708767</v>
      </c>
      <c r="AA12" s="9"/>
    </row>
    <row r="13" spans="1:27" x14ac:dyDescent="0.2">
      <c r="A13" s="17" t="s">
        <v>207</v>
      </c>
      <c r="B13" s="1">
        <f t="shared" ref="B13:Z13" si="1">EXP(B9)/1000</f>
        <v>0.20033680997479167</v>
      </c>
      <c r="C13" s="1">
        <f t="shared" si="1"/>
        <v>0.20033680997479167</v>
      </c>
      <c r="D13" s="1">
        <f t="shared" si="1"/>
        <v>0.20033680997479167</v>
      </c>
      <c r="E13" s="1">
        <f t="shared" si="1"/>
        <v>0.20033680997479167</v>
      </c>
      <c r="F13" s="1">
        <f t="shared" si="1"/>
        <v>0.20033680997479167</v>
      </c>
      <c r="G13" s="1">
        <f t="shared" si="1"/>
        <v>0.20033680997479167</v>
      </c>
      <c r="H13" s="1">
        <f t="shared" si="1"/>
        <v>0.20033680997479167</v>
      </c>
      <c r="I13" s="1">
        <f t="shared" si="1"/>
        <v>0.20033680997479167</v>
      </c>
      <c r="J13" s="1">
        <f t="shared" si="1"/>
        <v>0.20033680997479167</v>
      </c>
      <c r="K13" s="1">
        <f t="shared" si="1"/>
        <v>0.20033680997479167</v>
      </c>
      <c r="L13" s="1">
        <f t="shared" si="1"/>
        <v>0.20033680997479167</v>
      </c>
      <c r="M13" s="1">
        <f t="shared" si="1"/>
        <v>0.20033680997479167</v>
      </c>
      <c r="N13" s="1">
        <f t="shared" si="1"/>
        <v>0.20033680997479167</v>
      </c>
      <c r="O13" s="1">
        <f t="shared" si="1"/>
        <v>0.20033680997479167</v>
      </c>
      <c r="P13" s="1">
        <f t="shared" si="1"/>
        <v>0.20033680997479167</v>
      </c>
      <c r="Q13" s="1">
        <f t="shared" si="1"/>
        <v>0.20033680997479167</v>
      </c>
      <c r="R13" s="1">
        <f t="shared" si="1"/>
        <v>0.20033680997479167</v>
      </c>
      <c r="S13" s="1">
        <f t="shared" si="1"/>
        <v>0.20033680997479167</v>
      </c>
      <c r="T13" s="1">
        <f t="shared" si="1"/>
        <v>0.20033680997479167</v>
      </c>
      <c r="U13" s="1">
        <f t="shared" si="1"/>
        <v>0.20033680997479167</v>
      </c>
      <c r="V13" s="1">
        <f t="shared" si="1"/>
        <v>0.20033680997479167</v>
      </c>
      <c r="W13" s="1">
        <f t="shared" si="1"/>
        <v>0.20033680997479167</v>
      </c>
      <c r="X13" s="1">
        <f t="shared" si="1"/>
        <v>0.20033680997479167</v>
      </c>
      <c r="Y13" s="1">
        <f t="shared" si="1"/>
        <v>0.20033680997479167</v>
      </c>
      <c r="Z13" s="1">
        <f t="shared" si="1"/>
        <v>0.20033680997479167</v>
      </c>
    </row>
    <row r="14" spans="1:27" x14ac:dyDescent="0.2">
      <c r="A14" s="17" t="s">
        <v>208</v>
      </c>
      <c r="B14" s="1">
        <f t="shared" ref="B14:Z14" si="2">SIN(B11)</f>
        <v>2.6176948307873149E-2</v>
      </c>
      <c r="C14" s="1">
        <f t="shared" si="2"/>
        <v>2.6176948307873149E-2</v>
      </c>
      <c r="D14" s="1">
        <f t="shared" si="2"/>
        <v>2.6176948307873149E-2</v>
      </c>
      <c r="E14" s="1">
        <f t="shared" si="2"/>
        <v>2.6176948307873149E-2</v>
      </c>
      <c r="F14" s="1">
        <f t="shared" si="2"/>
        <v>2.6176948307873149E-2</v>
      </c>
      <c r="G14" s="1">
        <f t="shared" si="2"/>
        <v>2.6176948307873149E-2</v>
      </c>
      <c r="H14" s="1">
        <f t="shared" si="2"/>
        <v>2.6176948307873149E-2</v>
      </c>
      <c r="I14" s="1">
        <f t="shared" si="2"/>
        <v>2.6176948307873149E-2</v>
      </c>
      <c r="J14" s="1">
        <f t="shared" si="2"/>
        <v>2.6176948307873149E-2</v>
      </c>
      <c r="K14" s="1">
        <f t="shared" si="2"/>
        <v>2.6176948307873149E-2</v>
      </c>
      <c r="L14" s="1">
        <f t="shared" si="2"/>
        <v>2.6176948307873149E-2</v>
      </c>
      <c r="M14" s="1">
        <f t="shared" si="2"/>
        <v>2.6176948307873149E-2</v>
      </c>
      <c r="N14" s="1">
        <f t="shared" si="2"/>
        <v>2.6176948307873149E-2</v>
      </c>
      <c r="O14" s="1">
        <f t="shared" si="2"/>
        <v>2.6176948307873149E-2</v>
      </c>
      <c r="P14" s="1">
        <f t="shared" si="2"/>
        <v>2.6176948307873149E-2</v>
      </c>
      <c r="Q14" s="1">
        <f t="shared" si="2"/>
        <v>2.6176948307873149E-2</v>
      </c>
      <c r="R14" s="1">
        <f t="shared" si="2"/>
        <v>2.6176948307873149E-2</v>
      </c>
      <c r="S14" s="1">
        <f t="shared" si="2"/>
        <v>2.6176948307873149E-2</v>
      </c>
      <c r="T14" s="1">
        <f t="shared" si="2"/>
        <v>2.6176948307873149E-2</v>
      </c>
      <c r="U14" s="1">
        <f t="shared" si="2"/>
        <v>2.6176948307873149E-2</v>
      </c>
      <c r="V14" s="1">
        <f t="shared" si="2"/>
        <v>2.6176948307873149E-2</v>
      </c>
      <c r="W14" s="1">
        <f t="shared" si="2"/>
        <v>2.6176948307873149E-2</v>
      </c>
      <c r="X14" s="1">
        <f t="shared" si="2"/>
        <v>2.6176948307873149E-2</v>
      </c>
      <c r="Y14" s="1">
        <f t="shared" si="2"/>
        <v>2.6176948307873149E-2</v>
      </c>
      <c r="Z14" s="1">
        <f t="shared" si="2"/>
        <v>2.6176948307873149E-2</v>
      </c>
    </row>
    <row r="15" spans="1:27" x14ac:dyDescent="0.2">
      <c r="A15" s="17" t="s">
        <v>172</v>
      </c>
      <c r="B15" s="1">
        <v>0</v>
      </c>
      <c r="C15" s="1">
        <f t="shared" ref="C15:Z15" si="3">B15</f>
        <v>0</v>
      </c>
      <c r="D15" s="1">
        <f t="shared" si="3"/>
        <v>0</v>
      </c>
      <c r="E15" s="1">
        <f t="shared" si="3"/>
        <v>0</v>
      </c>
      <c r="F15" s="1">
        <f t="shared" si="3"/>
        <v>0</v>
      </c>
      <c r="G15" s="1">
        <f t="shared" si="3"/>
        <v>0</v>
      </c>
      <c r="H15" s="1">
        <f t="shared" si="3"/>
        <v>0</v>
      </c>
      <c r="I15" s="1">
        <f t="shared" si="3"/>
        <v>0</v>
      </c>
      <c r="J15" s="1">
        <f t="shared" si="3"/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O15" s="1">
        <f t="shared" si="3"/>
        <v>0</v>
      </c>
      <c r="P15" s="1">
        <f t="shared" si="3"/>
        <v>0</v>
      </c>
      <c r="Q15" s="1">
        <f t="shared" si="3"/>
        <v>0</v>
      </c>
      <c r="R15" s="1">
        <f t="shared" si="3"/>
        <v>0</v>
      </c>
      <c r="S15" s="1">
        <f t="shared" si="3"/>
        <v>0</v>
      </c>
      <c r="T15" s="1">
        <f t="shared" si="3"/>
        <v>0</v>
      </c>
      <c r="U15" s="1">
        <f t="shared" si="3"/>
        <v>0</v>
      </c>
      <c r="V15" s="1">
        <f t="shared" si="3"/>
        <v>0</v>
      </c>
      <c r="W15" s="1">
        <f t="shared" si="3"/>
        <v>0</v>
      </c>
      <c r="X15" s="1">
        <f t="shared" si="3"/>
        <v>0</v>
      </c>
      <c r="Y15" s="1">
        <f t="shared" si="3"/>
        <v>0</v>
      </c>
      <c r="Z15" s="1">
        <f t="shared" si="3"/>
        <v>0</v>
      </c>
    </row>
    <row r="16" spans="1:27" x14ac:dyDescent="0.2">
      <c r="A16" s="17" t="s">
        <v>175</v>
      </c>
      <c r="B16" s="1">
        <f>'Tyre Char.'!$D$14*'Tyre Char.'!$D$15</f>
        <v>1.25</v>
      </c>
      <c r="C16" s="1">
        <f t="shared" ref="C16:Z16" si="4">B16</f>
        <v>1.25</v>
      </c>
      <c r="D16" s="1">
        <f t="shared" si="4"/>
        <v>1.25</v>
      </c>
      <c r="E16" s="1">
        <f t="shared" si="4"/>
        <v>1.25</v>
      </c>
      <c r="F16" s="1">
        <f t="shared" si="4"/>
        <v>1.25</v>
      </c>
      <c r="G16" s="1">
        <f t="shared" si="4"/>
        <v>1.25</v>
      </c>
      <c r="H16" s="1">
        <f t="shared" si="4"/>
        <v>1.25</v>
      </c>
      <c r="I16" s="1">
        <f t="shared" si="4"/>
        <v>1.25</v>
      </c>
      <c r="J16" s="1">
        <f t="shared" si="4"/>
        <v>1.25</v>
      </c>
      <c r="K16" s="1">
        <f t="shared" si="4"/>
        <v>1.25</v>
      </c>
      <c r="L16" s="1">
        <f t="shared" si="4"/>
        <v>1.25</v>
      </c>
      <c r="M16" s="1">
        <f t="shared" si="4"/>
        <v>1.25</v>
      </c>
      <c r="N16" s="1">
        <f t="shared" si="4"/>
        <v>1.25</v>
      </c>
      <c r="O16" s="1">
        <f t="shared" si="4"/>
        <v>1.25</v>
      </c>
      <c r="P16" s="1">
        <f t="shared" si="4"/>
        <v>1.25</v>
      </c>
      <c r="Q16" s="1">
        <f t="shared" si="4"/>
        <v>1.25</v>
      </c>
      <c r="R16" s="1">
        <f t="shared" si="4"/>
        <v>1.25</v>
      </c>
      <c r="S16" s="1">
        <f t="shared" si="4"/>
        <v>1.25</v>
      </c>
      <c r="T16" s="1">
        <f t="shared" si="4"/>
        <v>1.25</v>
      </c>
      <c r="U16" s="1">
        <f t="shared" si="4"/>
        <v>1.25</v>
      </c>
      <c r="V16" s="1">
        <f t="shared" si="4"/>
        <v>1.25</v>
      </c>
      <c r="W16" s="1">
        <f t="shared" si="4"/>
        <v>1.25</v>
      </c>
      <c r="X16" s="1">
        <f t="shared" si="4"/>
        <v>1.25</v>
      </c>
      <c r="Y16" s="1">
        <f t="shared" si="4"/>
        <v>1.25</v>
      </c>
      <c r="Z16" s="1">
        <f t="shared" si="4"/>
        <v>1.25</v>
      </c>
    </row>
    <row r="17" spans="1:27" x14ac:dyDescent="0.2">
      <c r="A17" s="17" t="s">
        <v>19</v>
      </c>
      <c r="B17" s="6">
        <f>('Tyre Char.'!$D$16+'Tyre Char.'!$D$17*B15)*'Tyre Char.'!$D$18</f>
        <v>1.23</v>
      </c>
      <c r="C17" s="6">
        <f>('Tyre Char.'!$D$16+'Tyre Char.'!$D$17*C15)*'Tyre Char.'!$D$18</f>
        <v>1.23</v>
      </c>
      <c r="D17" s="6">
        <f>('Tyre Char.'!$D$16+'Tyre Char.'!$D$17*D15)*'Tyre Char.'!$D$18</f>
        <v>1.23</v>
      </c>
      <c r="E17" s="6">
        <f>('Tyre Char.'!$D$16+'Tyre Char.'!$D$17*E15)*'Tyre Char.'!$D$18</f>
        <v>1.23</v>
      </c>
      <c r="F17" s="6">
        <f>('Tyre Char.'!$D$16+'Tyre Char.'!$D$17*F15)*'Tyre Char.'!$D$18</f>
        <v>1.23</v>
      </c>
      <c r="G17" s="6">
        <f>('Tyre Char.'!$D$16+'Tyre Char.'!$D$17*G15)*'Tyre Char.'!$D$18</f>
        <v>1.23</v>
      </c>
      <c r="H17" s="6">
        <f>('Tyre Char.'!$D$16+'Tyre Char.'!$D$17*H15)*'Tyre Char.'!$D$18</f>
        <v>1.23</v>
      </c>
      <c r="I17" s="6">
        <f>('Tyre Char.'!$D$16+'Tyre Char.'!$D$17*I15)*'Tyre Char.'!$D$18</f>
        <v>1.23</v>
      </c>
      <c r="J17" s="6">
        <f>('Tyre Char.'!$D$16+'Tyre Char.'!$D$17*J15)*'Tyre Char.'!$D$18</f>
        <v>1.23</v>
      </c>
      <c r="K17" s="6">
        <f>('Tyre Char.'!$D$16+'Tyre Char.'!$D$17*K15)*'Tyre Char.'!$D$18</f>
        <v>1.23</v>
      </c>
      <c r="L17" s="6">
        <f>('Tyre Char.'!$D$16+'Tyre Char.'!$D$17*L15)*'Tyre Char.'!$D$18</f>
        <v>1.23</v>
      </c>
      <c r="M17" s="6">
        <f>('Tyre Char.'!$D$16+'Tyre Char.'!$D$17*M15)*'Tyre Char.'!$D$18</f>
        <v>1.23</v>
      </c>
      <c r="N17" s="6">
        <f>('Tyre Char.'!$D$16+'Tyre Char.'!$D$17*N15)*'Tyre Char.'!$D$18</f>
        <v>1.23</v>
      </c>
      <c r="O17" s="6">
        <f>('Tyre Char.'!$D$16+'Tyre Char.'!$D$17*O15)*'Tyre Char.'!$D$18</f>
        <v>1.23</v>
      </c>
      <c r="P17" s="6">
        <f>('Tyre Char.'!$D$16+'Tyre Char.'!$D$17*P15)*'Tyre Char.'!$D$18</f>
        <v>1.23</v>
      </c>
      <c r="Q17" s="6">
        <f>('Tyre Char.'!$D$16+'Tyre Char.'!$D$17*Q15)*'Tyre Char.'!$D$18</f>
        <v>1.23</v>
      </c>
      <c r="R17" s="6">
        <f>('Tyre Char.'!$D$16+'Tyre Char.'!$D$17*R15)*'Tyre Char.'!$D$18</f>
        <v>1.23</v>
      </c>
      <c r="S17" s="6">
        <f>('Tyre Char.'!$D$16+'Tyre Char.'!$D$17*S15)*'Tyre Char.'!$D$18</f>
        <v>1.23</v>
      </c>
      <c r="T17" s="6">
        <f>('Tyre Char.'!$D$16+'Tyre Char.'!$D$17*T15)*'Tyre Char.'!$D$18</f>
        <v>1.23</v>
      </c>
      <c r="U17" s="6">
        <f>('Tyre Char.'!$D$16+'Tyre Char.'!$D$17*U15)*'Tyre Char.'!$D$18</f>
        <v>1.23</v>
      </c>
      <c r="V17" s="6">
        <f>('Tyre Char.'!$D$16+'Tyre Char.'!$D$17*V15)*'Tyre Char.'!$D$18</f>
        <v>1.23</v>
      </c>
      <c r="W17" s="6">
        <f>('Tyre Char.'!$D$16+'Tyre Char.'!$D$17*W15)*'Tyre Char.'!$D$18</f>
        <v>1.23</v>
      </c>
      <c r="X17" s="6">
        <f>('Tyre Char.'!$D$16+'Tyre Char.'!$D$17*X15)*'Tyre Char.'!$D$18</f>
        <v>1.23</v>
      </c>
      <c r="Y17" s="6">
        <f>('Tyre Char.'!$D$16+'Tyre Char.'!$D$17*Y15)*'Tyre Char.'!$D$18</f>
        <v>1.23</v>
      </c>
      <c r="Z17" s="6">
        <f>('Tyre Char.'!$D$16+'Tyre Char.'!$D$17*Z15)*'Tyre Char.'!$D$18</f>
        <v>1.23</v>
      </c>
      <c r="AA17" s="6"/>
    </row>
    <row r="18" spans="1:27" x14ac:dyDescent="0.2">
      <c r="A18" s="17" t="s">
        <v>176</v>
      </c>
      <c r="B18" s="1">
        <f t="shared" ref="B18:Z18" si="5">B17*B12</f>
        <v>675.71280000000002</v>
      </c>
      <c r="C18" s="1">
        <f t="shared" si="5"/>
        <v>1215.8057711001168</v>
      </c>
      <c r="D18" s="1">
        <f t="shared" si="5"/>
        <v>1318.2846494668324</v>
      </c>
      <c r="E18" s="1">
        <f t="shared" si="5"/>
        <v>1313.8826421678464</v>
      </c>
      <c r="F18" s="1">
        <f t="shared" si="5"/>
        <v>1314.4391443986951</v>
      </c>
      <c r="G18" s="1">
        <f t="shared" si="5"/>
        <v>1314.3685855035158</v>
      </c>
      <c r="H18" s="1">
        <f t="shared" si="5"/>
        <v>1314.3775283554214</v>
      </c>
      <c r="I18" s="1">
        <f t="shared" si="5"/>
        <v>1314.3763948576664</v>
      </c>
      <c r="J18" s="1">
        <f t="shared" si="5"/>
        <v>1314.3765385265472</v>
      </c>
      <c r="K18" s="1">
        <f t="shared" si="5"/>
        <v>1314.3765203167513</v>
      </c>
      <c r="L18" s="1">
        <f t="shared" si="5"/>
        <v>1314.3765226248129</v>
      </c>
      <c r="M18" s="1">
        <f t="shared" si="5"/>
        <v>1314.3765223322698</v>
      </c>
      <c r="N18" s="1">
        <f t="shared" si="5"/>
        <v>1314.3765223693492</v>
      </c>
      <c r="O18" s="1">
        <f t="shared" si="5"/>
        <v>1314.3765223646494</v>
      </c>
      <c r="P18" s="1">
        <f t="shared" si="5"/>
        <v>1314.3765223652451</v>
      </c>
      <c r="Q18" s="1">
        <f t="shared" si="5"/>
        <v>1314.3765223651696</v>
      </c>
      <c r="R18" s="1">
        <f t="shared" si="5"/>
        <v>1314.3765223651792</v>
      </c>
      <c r="S18" s="1">
        <f t="shared" si="5"/>
        <v>1314.3765223651781</v>
      </c>
      <c r="T18" s="1">
        <f t="shared" si="5"/>
        <v>1314.3765223651783</v>
      </c>
      <c r="U18" s="1">
        <f t="shared" si="5"/>
        <v>1314.3765223651781</v>
      </c>
      <c r="V18" s="1">
        <f t="shared" si="5"/>
        <v>1314.3765223651783</v>
      </c>
      <c r="W18" s="1">
        <f t="shared" si="5"/>
        <v>1314.3765223651781</v>
      </c>
      <c r="X18" s="1">
        <f t="shared" si="5"/>
        <v>1314.3765223651783</v>
      </c>
      <c r="Y18" s="1">
        <f t="shared" si="5"/>
        <v>1314.3765223651781</v>
      </c>
      <c r="Z18" s="1">
        <f t="shared" si="5"/>
        <v>1314.3765223651783</v>
      </c>
    </row>
    <row r="19" spans="1:27" x14ac:dyDescent="0.2">
      <c r="A19" s="17" t="s">
        <v>177</v>
      </c>
      <c r="B19" s="1">
        <f>B12*('Tyre Char.'!$D$24+'Tyre Char.'!$D$25*B15)*EXP('Tyre Char.'!$D$26*B15)*'Tyre Char.'!$D$27</f>
        <v>8789.76</v>
      </c>
      <c r="C19" s="1">
        <f>C12*('Tyre Char.'!$D$24+'Tyre Char.'!$D$25*C15)*EXP('Tyre Char.'!$D$26*C15)*'Tyre Char.'!$D$27</f>
        <v>15815.359624066561</v>
      </c>
      <c r="D19" s="1">
        <f>D12*('Tyre Char.'!$D$24+'Tyre Char.'!$D$25*D15)*EXP('Tyre Char.'!$D$26*D15)*'Tyre Char.'!$D$27</f>
        <v>17148.4182044466</v>
      </c>
      <c r="E19" s="1">
        <f>E12*('Tyre Char.'!$D$24+'Tyre Char.'!$D$25*E15)*EXP('Tyre Char.'!$D$26*E15)*'Tyre Char.'!$D$27</f>
        <v>17091.156320882554</v>
      </c>
      <c r="F19" s="1">
        <f>F12*('Tyre Char.'!$D$24+'Tyre Char.'!$D$25*F15)*EXP('Tyre Char.'!$D$26*F15)*'Tyre Char.'!$D$27</f>
        <v>17098.395374291969</v>
      </c>
      <c r="G19" s="1">
        <f>G12*('Tyre Char.'!$D$24+'Tyre Char.'!$D$25*G15)*EXP('Tyre Char.'!$D$26*G15)*'Tyre Char.'!$D$27</f>
        <v>17097.477535005084</v>
      </c>
      <c r="H19" s="1">
        <f>H12*('Tyre Char.'!$D$24+'Tyre Char.'!$D$25*H15)*EXP('Tyre Char.'!$D$26*H15)*'Tyre Char.'!$D$27</f>
        <v>17097.593864785969</v>
      </c>
      <c r="I19" s="1">
        <f>I12*('Tyre Char.'!$D$24+'Tyre Char.'!$D$25*I15)*EXP('Tyre Char.'!$D$26*I15)*'Tyre Char.'!$D$27</f>
        <v>17097.579120099726</v>
      </c>
      <c r="J19" s="1">
        <f>J12*('Tyre Char.'!$D$24+'Tyre Char.'!$D$25*J15)*EXP('Tyre Char.'!$D$26*J15)*'Tyre Char.'!$D$27</f>
        <v>17097.580988963215</v>
      </c>
      <c r="K19" s="1">
        <f>K12*('Tyre Char.'!$D$24+'Tyre Char.'!$D$25*K15)*EXP('Tyre Char.'!$D$26*K15)*'Tyre Char.'!$D$27</f>
        <v>17097.580752087822</v>
      </c>
      <c r="L19" s="1">
        <f>L12*('Tyre Char.'!$D$24+'Tyre Char.'!$D$25*L15)*EXP('Tyre Char.'!$D$26*L15)*'Tyre Char.'!$D$27</f>
        <v>17097.580782111389</v>
      </c>
      <c r="M19" s="1">
        <f>M12*('Tyre Char.'!$D$24+'Tyre Char.'!$D$25*M15)*EXP('Tyre Char.'!$D$26*M15)*'Tyre Char.'!$D$27</f>
        <v>17097.58077830595</v>
      </c>
      <c r="N19" s="1">
        <f>N12*('Tyre Char.'!$D$24+'Tyre Char.'!$D$25*N15)*EXP('Tyre Char.'!$D$26*N15)*'Tyre Char.'!$D$27</f>
        <v>17097.580778788284</v>
      </c>
      <c r="O19" s="1">
        <f>O12*('Tyre Char.'!$D$24+'Tyre Char.'!$D$25*O15)*EXP('Tyre Char.'!$D$26*O15)*'Tyre Char.'!$D$27</f>
        <v>17097.580778727148</v>
      </c>
      <c r="P19" s="1">
        <f>P12*('Tyre Char.'!$D$24+'Tyre Char.'!$D$25*P15)*EXP('Tyre Char.'!$D$26*P15)*'Tyre Char.'!$D$27</f>
        <v>17097.580778734897</v>
      </c>
      <c r="Q19" s="1">
        <f>Q12*('Tyre Char.'!$D$24+'Tyre Char.'!$D$25*Q15)*EXP('Tyre Char.'!$D$26*Q15)*'Tyre Char.'!$D$27</f>
        <v>17097.580778733914</v>
      </c>
      <c r="R19" s="1">
        <f>R12*('Tyre Char.'!$D$24+'Tyre Char.'!$D$25*R15)*EXP('Tyre Char.'!$D$26*R15)*'Tyre Char.'!$D$27</f>
        <v>17097.580778734038</v>
      </c>
      <c r="S19" s="1">
        <f>S12*('Tyre Char.'!$D$24+'Tyre Char.'!$D$25*S15)*EXP('Tyre Char.'!$D$26*S15)*'Tyre Char.'!$D$27</f>
        <v>17097.580778734024</v>
      </c>
      <c r="T19" s="1">
        <f>T12*('Tyre Char.'!$D$24+'Tyre Char.'!$D$25*T15)*EXP('Tyre Char.'!$D$26*T15)*'Tyre Char.'!$D$27</f>
        <v>17097.580778734027</v>
      </c>
      <c r="U19" s="1">
        <f>U12*('Tyre Char.'!$D$24+'Tyre Char.'!$D$25*U15)*EXP('Tyre Char.'!$D$26*U15)*'Tyre Char.'!$D$27</f>
        <v>17097.580778734024</v>
      </c>
      <c r="V19" s="1">
        <f>V12*('Tyre Char.'!$D$24+'Tyre Char.'!$D$25*V15)*EXP('Tyre Char.'!$D$26*V15)*'Tyre Char.'!$D$27</f>
        <v>17097.580778734027</v>
      </c>
      <c r="W19" s="1">
        <f>W12*('Tyre Char.'!$D$24+'Tyre Char.'!$D$25*W15)*EXP('Tyre Char.'!$D$26*W15)*'Tyre Char.'!$D$27</f>
        <v>17097.580778734024</v>
      </c>
      <c r="X19" s="1">
        <f>X12*('Tyre Char.'!$D$24+'Tyre Char.'!$D$25*X15)*EXP('Tyre Char.'!$D$26*X15)*'Tyre Char.'!$D$27</f>
        <v>17097.580778734027</v>
      </c>
      <c r="Y19" s="1">
        <f>Y12*('Tyre Char.'!$D$24+'Tyre Char.'!$D$25*Y15)*EXP('Tyre Char.'!$D$26*Y15)*'Tyre Char.'!$D$27</f>
        <v>17097.580778734024</v>
      </c>
      <c r="Z19" s="1">
        <f>Z12*('Tyre Char.'!$D$24+'Tyre Char.'!$D$25*Z15)*EXP('Tyre Char.'!$D$26*Z15)*'Tyre Char.'!$D$27</f>
        <v>17097.580778734027</v>
      </c>
    </row>
    <row r="20" spans="1:27" x14ac:dyDescent="0.2">
      <c r="A20" s="17" t="s">
        <v>178</v>
      </c>
      <c r="B20" s="1">
        <f t="shared" ref="B20:Z20" si="6">B19/(B16*B18)</f>
        <v>10.40650406504065</v>
      </c>
      <c r="C20" s="1">
        <f t="shared" si="6"/>
        <v>10.406504065040652</v>
      </c>
      <c r="D20" s="1">
        <f t="shared" si="6"/>
        <v>10.40650406504065</v>
      </c>
      <c r="E20" s="1">
        <f t="shared" si="6"/>
        <v>10.40650406504065</v>
      </c>
      <c r="F20" s="1">
        <f t="shared" si="6"/>
        <v>10.40650406504065</v>
      </c>
      <c r="G20" s="1">
        <f t="shared" si="6"/>
        <v>10.406504065040652</v>
      </c>
      <c r="H20" s="1">
        <f t="shared" si="6"/>
        <v>10.40650406504065</v>
      </c>
      <c r="I20" s="1">
        <f t="shared" si="6"/>
        <v>10.406504065040652</v>
      </c>
      <c r="J20" s="1">
        <f t="shared" si="6"/>
        <v>10.40650406504065</v>
      </c>
      <c r="K20" s="1">
        <f t="shared" si="6"/>
        <v>10.40650406504065</v>
      </c>
      <c r="L20" s="1">
        <f t="shared" si="6"/>
        <v>10.406504065040652</v>
      </c>
      <c r="M20" s="1">
        <f t="shared" si="6"/>
        <v>10.406504065040652</v>
      </c>
      <c r="N20" s="1">
        <f t="shared" si="6"/>
        <v>10.406504065040652</v>
      </c>
      <c r="O20" s="1">
        <f t="shared" si="6"/>
        <v>10.40650406504065</v>
      </c>
      <c r="P20" s="1">
        <f t="shared" si="6"/>
        <v>10.40650406504065</v>
      </c>
      <c r="Q20" s="1">
        <f t="shared" si="6"/>
        <v>10.40650406504065</v>
      </c>
      <c r="R20" s="1">
        <f t="shared" si="6"/>
        <v>10.40650406504065</v>
      </c>
      <c r="S20" s="1">
        <f t="shared" si="6"/>
        <v>10.40650406504065</v>
      </c>
      <c r="T20" s="1">
        <f t="shared" si="6"/>
        <v>10.406504065040652</v>
      </c>
      <c r="U20" s="1">
        <f t="shared" si="6"/>
        <v>10.40650406504065</v>
      </c>
      <c r="V20" s="1">
        <f t="shared" si="6"/>
        <v>10.406504065040652</v>
      </c>
      <c r="W20" s="1">
        <f t="shared" si="6"/>
        <v>10.40650406504065</v>
      </c>
      <c r="X20" s="1">
        <f t="shared" si="6"/>
        <v>10.406504065040652</v>
      </c>
      <c r="Y20" s="1">
        <f t="shared" si="6"/>
        <v>10.40650406504065</v>
      </c>
      <c r="Z20" s="1">
        <f t="shared" si="6"/>
        <v>10.406504065040652</v>
      </c>
    </row>
    <row r="21" spans="1:27" x14ac:dyDescent="0.2">
      <c r="A21" s="17" t="s">
        <v>209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</row>
    <row r="22" spans="1:27" x14ac:dyDescent="0.2">
      <c r="A22" s="17" t="s">
        <v>173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</row>
    <row r="23" spans="1:27" x14ac:dyDescent="0.2">
      <c r="A23" s="17" t="s">
        <v>179</v>
      </c>
      <c r="B23" s="1">
        <f t="shared" ref="B23:Z23" si="7">B13+B21</f>
        <v>0.20033680997479167</v>
      </c>
      <c r="C23" s="1">
        <f t="shared" si="7"/>
        <v>0.20033680997479167</v>
      </c>
      <c r="D23" s="1">
        <f t="shared" si="7"/>
        <v>0.20033680997479167</v>
      </c>
      <c r="E23" s="1">
        <f t="shared" si="7"/>
        <v>0.20033680997479167</v>
      </c>
      <c r="F23" s="1">
        <f t="shared" si="7"/>
        <v>0.20033680997479167</v>
      </c>
      <c r="G23" s="1">
        <f t="shared" si="7"/>
        <v>0.20033680997479167</v>
      </c>
      <c r="H23" s="1">
        <f t="shared" si="7"/>
        <v>0.20033680997479167</v>
      </c>
      <c r="I23" s="1">
        <f t="shared" si="7"/>
        <v>0.20033680997479167</v>
      </c>
      <c r="J23" s="1">
        <f t="shared" si="7"/>
        <v>0.20033680997479167</v>
      </c>
      <c r="K23" s="1">
        <f t="shared" si="7"/>
        <v>0.20033680997479167</v>
      </c>
      <c r="L23" s="1">
        <f t="shared" si="7"/>
        <v>0.20033680997479167</v>
      </c>
      <c r="M23" s="1">
        <f t="shared" si="7"/>
        <v>0.20033680997479167</v>
      </c>
      <c r="N23" s="1">
        <f t="shared" si="7"/>
        <v>0.20033680997479167</v>
      </c>
      <c r="O23" s="1">
        <f t="shared" si="7"/>
        <v>0.20033680997479167</v>
      </c>
      <c r="P23" s="1">
        <f t="shared" si="7"/>
        <v>0.20033680997479167</v>
      </c>
      <c r="Q23" s="1">
        <f t="shared" si="7"/>
        <v>0.20033680997479167</v>
      </c>
      <c r="R23" s="1">
        <f t="shared" si="7"/>
        <v>0.20033680997479167</v>
      </c>
      <c r="S23" s="1">
        <f t="shared" si="7"/>
        <v>0.20033680997479167</v>
      </c>
      <c r="T23" s="1">
        <f t="shared" si="7"/>
        <v>0.20033680997479167</v>
      </c>
      <c r="U23" s="1">
        <f t="shared" si="7"/>
        <v>0.20033680997479167</v>
      </c>
      <c r="V23" s="1">
        <f t="shared" si="7"/>
        <v>0.20033680997479167</v>
      </c>
      <c r="W23" s="1">
        <f t="shared" si="7"/>
        <v>0.20033680997479167</v>
      </c>
      <c r="X23" s="1">
        <f t="shared" si="7"/>
        <v>0.20033680997479167</v>
      </c>
      <c r="Y23" s="1">
        <f t="shared" si="7"/>
        <v>0.20033680997479167</v>
      </c>
      <c r="Z23" s="1">
        <f t="shared" si="7"/>
        <v>0.20033680997479167</v>
      </c>
    </row>
    <row r="24" spans="1:27" x14ac:dyDescent="0.2">
      <c r="A24" s="17" t="s">
        <v>180</v>
      </c>
      <c r="B24" s="1">
        <f>('Tyre Char.'!$D$19+'Tyre Char.'!$D$20*B15+'Tyre Char.'!$D$21*B15^2)*(1-'Tyre Char.'!$D$22*SIGN(B23))*'Tyre Char.'!$D$23</f>
        <v>-0.8</v>
      </c>
      <c r="C24" s="1">
        <f>('Tyre Char.'!$D$19+'Tyre Char.'!$D$20*C15+'Tyre Char.'!$D$21*C15^2)*(1-'Tyre Char.'!$D$22*SIGN(C23))*'Tyre Char.'!$D$23</f>
        <v>-0.8</v>
      </c>
      <c r="D24" s="1">
        <f>('Tyre Char.'!$D$19+'Tyre Char.'!$D$20*D15+'Tyre Char.'!$D$21*D15^2)*(1-'Tyre Char.'!$D$22*SIGN(D23))*'Tyre Char.'!$D$23</f>
        <v>-0.8</v>
      </c>
      <c r="E24" s="1">
        <f>('Tyre Char.'!$D$19+'Tyre Char.'!$D$20*E15+'Tyre Char.'!$D$21*E15^2)*(1-'Tyre Char.'!$D$22*SIGN(E23))*'Tyre Char.'!$D$23</f>
        <v>-0.8</v>
      </c>
      <c r="F24" s="1">
        <f>('Tyre Char.'!$D$19+'Tyre Char.'!$D$20*F15+'Tyre Char.'!$D$21*F15^2)*(1-'Tyre Char.'!$D$22*SIGN(F23))*'Tyre Char.'!$D$23</f>
        <v>-0.8</v>
      </c>
      <c r="G24" s="1">
        <f>('Tyre Char.'!$D$19+'Tyre Char.'!$D$20*G15+'Tyre Char.'!$D$21*G15^2)*(1-'Tyre Char.'!$D$22*SIGN(G23))*'Tyre Char.'!$D$23</f>
        <v>-0.8</v>
      </c>
      <c r="H24" s="1">
        <f>('Tyre Char.'!$D$19+'Tyre Char.'!$D$20*H15+'Tyre Char.'!$D$21*H15^2)*(1-'Tyre Char.'!$D$22*SIGN(H23))*'Tyre Char.'!$D$23</f>
        <v>-0.8</v>
      </c>
      <c r="I24" s="1">
        <f>('Tyre Char.'!$D$19+'Tyre Char.'!$D$20*I15+'Tyre Char.'!$D$21*I15^2)*(1-'Tyre Char.'!$D$22*SIGN(I23))*'Tyre Char.'!$D$23</f>
        <v>-0.8</v>
      </c>
      <c r="J24" s="1">
        <f>('Tyre Char.'!$D$19+'Tyre Char.'!$D$20*J15+'Tyre Char.'!$D$21*J15^2)*(1-'Tyre Char.'!$D$22*SIGN(J23))*'Tyre Char.'!$D$23</f>
        <v>-0.8</v>
      </c>
      <c r="K24" s="1">
        <f>('Tyre Char.'!$D$19+'Tyre Char.'!$D$20*K15+'Tyre Char.'!$D$21*K15^2)*(1-'Tyre Char.'!$D$22*SIGN(K23))*'Tyre Char.'!$D$23</f>
        <v>-0.8</v>
      </c>
      <c r="L24" s="1">
        <f>('Tyre Char.'!$D$19+'Tyre Char.'!$D$20*L15+'Tyre Char.'!$D$21*L15^2)*(1-'Tyre Char.'!$D$22*SIGN(L23))*'Tyre Char.'!$D$23</f>
        <v>-0.8</v>
      </c>
      <c r="M24" s="1">
        <f>('Tyre Char.'!$D$19+'Tyre Char.'!$D$20*M15+'Tyre Char.'!$D$21*M15^2)*(1-'Tyre Char.'!$D$22*SIGN(M23))*'Tyre Char.'!$D$23</f>
        <v>-0.8</v>
      </c>
      <c r="N24" s="1">
        <f>('Tyre Char.'!$D$19+'Tyre Char.'!$D$20*N15+'Tyre Char.'!$D$21*N15^2)*(1-'Tyre Char.'!$D$22*SIGN(N23))*'Tyre Char.'!$D$23</f>
        <v>-0.8</v>
      </c>
      <c r="O24" s="1">
        <f>('Tyre Char.'!$D$19+'Tyre Char.'!$D$20*O15+'Tyre Char.'!$D$21*O15^2)*(1-'Tyre Char.'!$D$22*SIGN(O23))*'Tyre Char.'!$D$23</f>
        <v>-0.8</v>
      </c>
      <c r="P24" s="1">
        <f>('Tyre Char.'!$D$19+'Tyre Char.'!$D$20*P15+'Tyre Char.'!$D$21*P15^2)*(1-'Tyre Char.'!$D$22*SIGN(P23))*'Tyre Char.'!$D$23</f>
        <v>-0.8</v>
      </c>
      <c r="Q24" s="1">
        <f>('Tyre Char.'!$D$19+'Tyre Char.'!$D$20*Q15+'Tyre Char.'!$D$21*Q15^2)*(1-'Tyre Char.'!$D$22*SIGN(Q23))*'Tyre Char.'!$D$23</f>
        <v>-0.8</v>
      </c>
      <c r="R24" s="1">
        <f>('Tyre Char.'!$D$19+'Tyre Char.'!$D$20*R15+'Tyre Char.'!$D$21*R15^2)*(1-'Tyre Char.'!$D$22*SIGN(R23))*'Tyre Char.'!$D$23</f>
        <v>-0.8</v>
      </c>
      <c r="S24" s="1">
        <f>('Tyre Char.'!$D$19+'Tyre Char.'!$D$20*S15+'Tyre Char.'!$D$21*S15^2)*(1-'Tyre Char.'!$D$22*SIGN(S23))*'Tyre Char.'!$D$23</f>
        <v>-0.8</v>
      </c>
      <c r="T24" s="1">
        <f>('Tyre Char.'!$D$19+'Tyre Char.'!$D$20*T15+'Tyre Char.'!$D$21*T15^2)*(1-'Tyre Char.'!$D$22*SIGN(T23))*'Tyre Char.'!$D$23</f>
        <v>-0.8</v>
      </c>
      <c r="U24" s="1">
        <f>('Tyre Char.'!$D$19+'Tyre Char.'!$D$20*U15+'Tyre Char.'!$D$21*U15^2)*(1-'Tyre Char.'!$D$22*SIGN(U23))*'Tyre Char.'!$D$23</f>
        <v>-0.8</v>
      </c>
      <c r="V24" s="1">
        <f>('Tyre Char.'!$D$19+'Tyre Char.'!$D$20*V15+'Tyre Char.'!$D$21*V15^2)*(1-'Tyre Char.'!$D$22*SIGN(V23))*'Tyre Char.'!$D$23</f>
        <v>-0.8</v>
      </c>
      <c r="W24" s="1">
        <f>('Tyre Char.'!$D$19+'Tyre Char.'!$D$20*W15+'Tyre Char.'!$D$21*W15^2)*(1-'Tyre Char.'!$D$22*SIGN(W23))*'Tyre Char.'!$D$23</f>
        <v>-0.8</v>
      </c>
      <c r="X24" s="1">
        <f>('Tyre Char.'!$D$19+'Tyre Char.'!$D$20*X15+'Tyre Char.'!$D$21*X15^2)*(1-'Tyre Char.'!$D$22*SIGN(X23))*'Tyre Char.'!$D$23</f>
        <v>-0.8</v>
      </c>
      <c r="Y24" s="1">
        <f>('Tyre Char.'!$D$19+'Tyre Char.'!$D$20*Y15+'Tyre Char.'!$D$21*Y15^2)*(1-'Tyre Char.'!$D$22*SIGN(Y23))*'Tyre Char.'!$D$23</f>
        <v>-0.8</v>
      </c>
      <c r="Z24" s="1">
        <f>('Tyre Char.'!$D$19+'Tyre Char.'!$D$20*Z15+'Tyre Char.'!$D$21*Z15^2)*(1-'Tyre Char.'!$D$22*SIGN(Z23))*'Tyre Char.'!$D$23</f>
        <v>-0.8</v>
      </c>
    </row>
    <row r="25" spans="1:27" x14ac:dyDescent="0.2">
      <c r="A25" s="18" t="s">
        <v>181</v>
      </c>
      <c r="B25" s="1">
        <f t="shared" ref="B25:Z25" si="8">B18*SIN(B16*ATAN(B20*B23-B24*(B20*B23-ATAN(B20*B23))))</f>
        <v>675.43647144747149</v>
      </c>
      <c r="C25" s="1">
        <f t="shared" si="8"/>
        <v>1215.3085748817175</v>
      </c>
      <c r="D25" s="1">
        <f t="shared" si="8"/>
        <v>1317.7455451476487</v>
      </c>
      <c r="E25" s="1">
        <f t="shared" si="8"/>
        <v>1313.3453380222056</v>
      </c>
      <c r="F25" s="1">
        <f t="shared" si="8"/>
        <v>1313.9016126749236</v>
      </c>
      <c r="G25" s="1">
        <f t="shared" si="8"/>
        <v>1313.8310826343661</v>
      </c>
      <c r="H25" s="1">
        <f t="shared" si="8"/>
        <v>1313.8400218291481</v>
      </c>
      <c r="I25" s="1">
        <f t="shared" si="8"/>
        <v>1313.8388887949297</v>
      </c>
      <c r="J25" s="1">
        <f t="shared" si="8"/>
        <v>1313.8390324050581</v>
      </c>
      <c r="K25" s="1">
        <f t="shared" si="8"/>
        <v>1313.839014202709</v>
      </c>
      <c r="L25" s="1">
        <f t="shared" si="8"/>
        <v>1313.8390165098267</v>
      </c>
      <c r="M25" s="1">
        <f t="shared" si="8"/>
        <v>1313.8390162174032</v>
      </c>
      <c r="N25" s="1">
        <f t="shared" si="8"/>
        <v>1313.8390162544677</v>
      </c>
      <c r="O25" s="1">
        <f t="shared" si="8"/>
        <v>1313.8390162497697</v>
      </c>
      <c r="P25" s="1">
        <f t="shared" si="8"/>
        <v>1313.8390162503651</v>
      </c>
      <c r="Q25" s="1">
        <f t="shared" si="8"/>
        <v>1313.8390162502897</v>
      </c>
      <c r="R25" s="1">
        <f t="shared" si="8"/>
        <v>1313.8390162502992</v>
      </c>
      <c r="S25" s="1">
        <f t="shared" si="8"/>
        <v>1313.8390162502981</v>
      </c>
      <c r="T25" s="1">
        <f t="shared" si="8"/>
        <v>1313.8390162502983</v>
      </c>
      <c r="U25" s="1">
        <f t="shared" si="8"/>
        <v>1313.8390162502981</v>
      </c>
      <c r="V25" s="1">
        <f t="shared" si="8"/>
        <v>1313.8390162502983</v>
      </c>
      <c r="W25" s="1">
        <f t="shared" si="8"/>
        <v>1313.8390162502981</v>
      </c>
      <c r="X25" s="1">
        <f t="shared" si="8"/>
        <v>1313.8390162502983</v>
      </c>
      <c r="Y25" s="1">
        <f t="shared" si="8"/>
        <v>1313.8390162502981</v>
      </c>
      <c r="Z25" s="1">
        <f t="shared" si="8"/>
        <v>1313.8390162502983</v>
      </c>
    </row>
    <row r="27" spans="1:27" x14ac:dyDescent="0.2">
      <c r="A27" s="6" t="s">
        <v>229</v>
      </c>
    </row>
    <row r="28" spans="1:27" x14ac:dyDescent="0.2">
      <c r="A28" s="16" t="s">
        <v>203</v>
      </c>
      <c r="B28" s="1">
        <v>6.91</v>
      </c>
      <c r="C28" s="1">
        <v>6.91</v>
      </c>
      <c r="D28" s="1">
        <v>6.91</v>
      </c>
      <c r="E28" s="1">
        <v>6.91</v>
      </c>
      <c r="F28" s="1">
        <v>6.91</v>
      </c>
      <c r="G28" s="1">
        <v>6.91</v>
      </c>
      <c r="H28" s="1">
        <v>6.91</v>
      </c>
      <c r="I28" s="1">
        <v>6.91</v>
      </c>
      <c r="J28" s="1">
        <v>6.91</v>
      </c>
      <c r="K28" s="1">
        <v>6.91</v>
      </c>
      <c r="L28" s="1">
        <v>6.91</v>
      </c>
      <c r="M28" s="1">
        <v>6.91</v>
      </c>
      <c r="N28" s="1">
        <v>6.91</v>
      </c>
      <c r="O28" s="1">
        <v>6.91</v>
      </c>
      <c r="P28" s="1">
        <v>6.91</v>
      </c>
      <c r="Q28" s="1">
        <v>6.91</v>
      </c>
      <c r="R28" s="1">
        <v>6.91</v>
      </c>
      <c r="S28" s="1">
        <v>6.91</v>
      </c>
      <c r="T28" s="1">
        <v>6.91</v>
      </c>
      <c r="U28" s="1">
        <v>6.91</v>
      </c>
      <c r="V28" s="1">
        <v>6.91</v>
      </c>
      <c r="W28" s="1">
        <v>6.91</v>
      </c>
      <c r="X28" s="1">
        <v>6.91</v>
      </c>
      <c r="Y28" s="1">
        <v>6.91</v>
      </c>
      <c r="Z28" s="1">
        <v>6.91</v>
      </c>
    </row>
    <row r="29" spans="1:27" x14ac:dyDescent="0.2">
      <c r="A29" s="17" t="s">
        <v>204</v>
      </c>
      <c r="B29" s="1">
        <f>'Tyre Char.'!$D$3</f>
        <v>1.5</v>
      </c>
      <c r="C29" s="1">
        <f>'Tyre Char.'!$D$3</f>
        <v>1.5</v>
      </c>
      <c r="D29" s="1">
        <f>'Tyre Char.'!$D$3</f>
        <v>1.5</v>
      </c>
      <c r="E29" s="1">
        <f>'Tyre Char.'!$D$3</f>
        <v>1.5</v>
      </c>
      <c r="F29" s="1">
        <f>'Tyre Char.'!$D$3</f>
        <v>1.5</v>
      </c>
      <c r="G29" s="1">
        <f>'Tyre Char.'!$D$3</f>
        <v>1.5</v>
      </c>
      <c r="H29" s="1">
        <f>'Tyre Char.'!$D$3</f>
        <v>1.5</v>
      </c>
      <c r="I29" s="1">
        <f>'Tyre Char.'!$D$3</f>
        <v>1.5</v>
      </c>
      <c r="J29" s="1">
        <f>'Tyre Char.'!$D$3</f>
        <v>1.5</v>
      </c>
      <c r="K29" s="1">
        <f>'Tyre Char.'!$D$3</f>
        <v>1.5</v>
      </c>
      <c r="L29" s="1">
        <f>'Tyre Char.'!$D$3</f>
        <v>1.5</v>
      </c>
      <c r="M29" s="1">
        <f>'Tyre Char.'!$D$3</f>
        <v>1.5</v>
      </c>
      <c r="N29" s="1">
        <f>'Tyre Char.'!$D$3</f>
        <v>1.5</v>
      </c>
      <c r="O29" s="1">
        <f>'Tyre Char.'!$D$3</f>
        <v>1.5</v>
      </c>
      <c r="P29" s="1">
        <f>'Tyre Char.'!$D$3</f>
        <v>1.5</v>
      </c>
      <c r="Q29" s="1">
        <f>'Tyre Char.'!$D$3</f>
        <v>1.5</v>
      </c>
      <c r="R29" s="1">
        <f>'Tyre Char.'!$D$3</f>
        <v>1.5</v>
      </c>
      <c r="S29" s="1">
        <f>'Tyre Char.'!$D$3</f>
        <v>1.5</v>
      </c>
      <c r="T29" s="1">
        <f>'Tyre Char.'!$D$3</f>
        <v>1.5</v>
      </c>
      <c r="U29" s="1">
        <f>'Tyre Char.'!$D$3</f>
        <v>1.5</v>
      </c>
      <c r="V29" s="1">
        <f>'Tyre Char.'!$D$3</f>
        <v>1.5</v>
      </c>
      <c r="W29" s="1">
        <f>'Tyre Char.'!$D$3</f>
        <v>1.5</v>
      </c>
      <c r="X29" s="1">
        <f>'Tyre Char.'!$D$3</f>
        <v>1.5</v>
      </c>
      <c r="Y29" s="1">
        <f>'Tyre Char.'!$D$3</f>
        <v>1.5</v>
      </c>
      <c r="Z29" s="1">
        <f>'Tyre Char.'!$D$3</f>
        <v>1.5</v>
      </c>
    </row>
    <row r="30" spans="1:27" x14ac:dyDescent="0.2">
      <c r="A30" s="17" t="s">
        <v>205</v>
      </c>
      <c r="B30" s="1">
        <f t="shared" ref="B30:Z30" si="9">B29/180*PI()</f>
        <v>2.6179938779914941E-2</v>
      </c>
      <c r="C30" s="1">
        <f t="shared" si="9"/>
        <v>2.6179938779914941E-2</v>
      </c>
      <c r="D30" s="1">
        <f t="shared" si="9"/>
        <v>2.6179938779914941E-2</v>
      </c>
      <c r="E30" s="1">
        <f t="shared" si="9"/>
        <v>2.6179938779914941E-2</v>
      </c>
      <c r="F30" s="1">
        <f t="shared" si="9"/>
        <v>2.6179938779914941E-2</v>
      </c>
      <c r="G30" s="1">
        <f t="shared" si="9"/>
        <v>2.6179938779914941E-2</v>
      </c>
      <c r="H30" s="1">
        <f t="shared" si="9"/>
        <v>2.6179938779914941E-2</v>
      </c>
      <c r="I30" s="1">
        <f t="shared" si="9"/>
        <v>2.6179938779914941E-2</v>
      </c>
      <c r="J30" s="1">
        <f t="shared" si="9"/>
        <v>2.6179938779914941E-2</v>
      </c>
      <c r="K30" s="1">
        <f t="shared" si="9"/>
        <v>2.6179938779914941E-2</v>
      </c>
      <c r="L30" s="1">
        <f t="shared" si="9"/>
        <v>2.6179938779914941E-2</v>
      </c>
      <c r="M30" s="1">
        <f t="shared" si="9"/>
        <v>2.6179938779914941E-2</v>
      </c>
      <c r="N30" s="1">
        <f t="shared" si="9"/>
        <v>2.6179938779914941E-2</v>
      </c>
      <c r="O30" s="1">
        <f t="shared" si="9"/>
        <v>2.6179938779914941E-2</v>
      </c>
      <c r="P30" s="1">
        <f t="shared" si="9"/>
        <v>2.6179938779914941E-2</v>
      </c>
      <c r="Q30" s="1">
        <f t="shared" si="9"/>
        <v>2.6179938779914941E-2</v>
      </c>
      <c r="R30" s="1">
        <f t="shared" si="9"/>
        <v>2.6179938779914941E-2</v>
      </c>
      <c r="S30" s="1">
        <f t="shared" si="9"/>
        <v>2.6179938779914941E-2</v>
      </c>
      <c r="T30" s="1">
        <f t="shared" si="9"/>
        <v>2.6179938779914941E-2</v>
      </c>
      <c r="U30" s="1">
        <f t="shared" si="9"/>
        <v>2.6179938779914941E-2</v>
      </c>
      <c r="V30" s="1">
        <f t="shared" si="9"/>
        <v>2.6179938779914941E-2</v>
      </c>
      <c r="W30" s="1">
        <f t="shared" si="9"/>
        <v>2.6179938779914941E-2</v>
      </c>
      <c r="X30" s="1">
        <f t="shared" si="9"/>
        <v>2.6179938779914941E-2</v>
      </c>
      <c r="Y30" s="1">
        <f t="shared" si="9"/>
        <v>2.6179938779914941E-2</v>
      </c>
      <c r="Z30" s="1">
        <f t="shared" si="9"/>
        <v>2.6179938779914941E-2</v>
      </c>
    </row>
    <row r="31" spans="1:27" x14ac:dyDescent="0.2">
      <c r="A31" s="17" t="s">
        <v>206</v>
      </c>
      <c r="B31" s="9">
        <f>'Rolling or Skidding'!E$6</f>
        <v>549.36</v>
      </c>
      <c r="C31" s="9">
        <f>'Rolling or Skidding'!F$6</f>
        <v>988.45997650416007</v>
      </c>
      <c r="D31" s="9">
        <f>'Rolling or Skidding'!G$6</f>
        <v>1071.7761377779125</v>
      </c>
      <c r="E31" s="9">
        <f>'Rolling or Skidding'!H$6</f>
        <v>1068.1972700551596</v>
      </c>
      <c r="F31" s="9">
        <f>'Rolling or Skidding'!I$6</f>
        <v>1068.6497108932481</v>
      </c>
      <c r="G31" s="9">
        <f>'Rolling or Skidding'!J$6</f>
        <v>1068.5923459378178</v>
      </c>
      <c r="H31" s="9">
        <f>'Rolling or Skidding'!K$6</f>
        <v>1068.5996165491231</v>
      </c>
      <c r="I31" s="9">
        <f>'Rolling or Skidding'!L$6</f>
        <v>1068.5986950062329</v>
      </c>
      <c r="J31" s="9">
        <f>'Rolling or Skidding'!M$6</f>
        <v>1068.5988118102009</v>
      </c>
      <c r="K31" s="9">
        <f>'Rolling or Skidding'!N$6</f>
        <v>1068.5987970054889</v>
      </c>
      <c r="L31" s="9">
        <f>'Rolling or Skidding'!O$6</f>
        <v>1068.5987988819618</v>
      </c>
      <c r="M31" s="9">
        <f>'Rolling or Skidding'!P$6</f>
        <v>1068.5987986441219</v>
      </c>
      <c r="N31" s="9">
        <f>'Rolling or Skidding'!Q$6</f>
        <v>1068.5987986742678</v>
      </c>
      <c r="O31" s="9">
        <f>'Rolling or Skidding'!R$6</f>
        <v>1068.5987986704467</v>
      </c>
      <c r="P31" s="9">
        <f>'Rolling or Skidding'!S$6</f>
        <v>1068.598798670931</v>
      </c>
      <c r="Q31" s="9">
        <f>'Rolling or Skidding'!T$6</f>
        <v>1068.5987986708697</v>
      </c>
      <c r="R31" s="9">
        <f>'Rolling or Skidding'!U$6</f>
        <v>1068.5987986708774</v>
      </c>
      <c r="S31" s="9">
        <f>'Rolling or Skidding'!V$6</f>
        <v>1068.5987986708765</v>
      </c>
      <c r="T31" s="9">
        <f>'Rolling or Skidding'!W$6</f>
        <v>1068.5987986708767</v>
      </c>
      <c r="U31" s="9">
        <f>'Rolling or Skidding'!X$6</f>
        <v>1068.5987986708765</v>
      </c>
      <c r="V31" s="9">
        <f>'Rolling or Skidding'!Y$6</f>
        <v>1068.5987986708767</v>
      </c>
      <c r="W31" s="9">
        <f>'Rolling or Skidding'!Z$6</f>
        <v>1068.5987986708765</v>
      </c>
      <c r="X31" s="9">
        <f>'Rolling or Skidding'!AA$6</f>
        <v>1068.5987986708767</v>
      </c>
      <c r="Y31" s="9">
        <f>'Rolling or Skidding'!AB$6</f>
        <v>1068.5987986708765</v>
      </c>
      <c r="Z31" s="9">
        <f>'Rolling or Skidding'!AC$6</f>
        <v>1068.5987986708767</v>
      </c>
      <c r="AA31" s="9"/>
    </row>
    <row r="32" spans="1:27" x14ac:dyDescent="0.2">
      <c r="A32" s="17" t="s">
        <v>207</v>
      </c>
      <c r="B32" s="1">
        <f t="shared" ref="B32:Z32" si="10">EXP(B28)/1000</f>
        <v>1.0022472422902517</v>
      </c>
      <c r="C32" s="1">
        <f t="shared" si="10"/>
        <v>1.0022472422902517</v>
      </c>
      <c r="D32" s="1">
        <f t="shared" si="10"/>
        <v>1.0022472422902517</v>
      </c>
      <c r="E32" s="1">
        <f t="shared" si="10"/>
        <v>1.0022472422902517</v>
      </c>
      <c r="F32" s="1">
        <f t="shared" si="10"/>
        <v>1.0022472422902517</v>
      </c>
      <c r="G32" s="1">
        <f t="shared" si="10"/>
        <v>1.0022472422902517</v>
      </c>
      <c r="H32" s="1">
        <f t="shared" si="10"/>
        <v>1.0022472422902517</v>
      </c>
      <c r="I32" s="1">
        <f t="shared" si="10"/>
        <v>1.0022472422902517</v>
      </c>
      <c r="J32" s="1">
        <f t="shared" si="10"/>
        <v>1.0022472422902517</v>
      </c>
      <c r="K32" s="1">
        <f t="shared" si="10"/>
        <v>1.0022472422902517</v>
      </c>
      <c r="L32" s="1">
        <f t="shared" si="10"/>
        <v>1.0022472422902517</v>
      </c>
      <c r="M32" s="1">
        <f t="shared" si="10"/>
        <v>1.0022472422902517</v>
      </c>
      <c r="N32" s="1">
        <f t="shared" si="10"/>
        <v>1.0022472422902517</v>
      </c>
      <c r="O32" s="1">
        <f t="shared" si="10"/>
        <v>1.0022472422902517</v>
      </c>
      <c r="P32" s="1">
        <f t="shared" si="10"/>
        <v>1.0022472422902517</v>
      </c>
      <c r="Q32" s="1">
        <f t="shared" si="10"/>
        <v>1.0022472422902517</v>
      </c>
      <c r="R32" s="1">
        <f t="shared" si="10"/>
        <v>1.0022472422902517</v>
      </c>
      <c r="S32" s="1">
        <f t="shared" si="10"/>
        <v>1.0022472422902517</v>
      </c>
      <c r="T32" s="1">
        <f t="shared" si="10"/>
        <v>1.0022472422902517</v>
      </c>
      <c r="U32" s="1">
        <f t="shared" si="10"/>
        <v>1.0022472422902517</v>
      </c>
      <c r="V32" s="1">
        <f t="shared" si="10"/>
        <v>1.0022472422902517</v>
      </c>
      <c r="W32" s="1">
        <f t="shared" si="10"/>
        <v>1.0022472422902517</v>
      </c>
      <c r="X32" s="1">
        <f t="shared" si="10"/>
        <v>1.0022472422902517</v>
      </c>
      <c r="Y32" s="1">
        <f t="shared" si="10"/>
        <v>1.0022472422902517</v>
      </c>
      <c r="Z32" s="1">
        <f t="shared" si="10"/>
        <v>1.0022472422902517</v>
      </c>
    </row>
    <row r="33" spans="1:27" x14ac:dyDescent="0.2">
      <c r="A33" s="17" t="s">
        <v>208</v>
      </c>
      <c r="B33" s="1">
        <f t="shared" ref="B33:Z33" si="11">SIN(B30)</f>
        <v>2.6176948307873149E-2</v>
      </c>
      <c r="C33" s="1">
        <f t="shared" si="11"/>
        <v>2.6176948307873149E-2</v>
      </c>
      <c r="D33" s="1">
        <f t="shared" si="11"/>
        <v>2.6176948307873149E-2</v>
      </c>
      <c r="E33" s="1">
        <f t="shared" si="11"/>
        <v>2.6176948307873149E-2</v>
      </c>
      <c r="F33" s="1">
        <f t="shared" si="11"/>
        <v>2.6176948307873149E-2</v>
      </c>
      <c r="G33" s="1">
        <f t="shared" si="11"/>
        <v>2.6176948307873149E-2</v>
      </c>
      <c r="H33" s="1">
        <f t="shared" si="11"/>
        <v>2.6176948307873149E-2</v>
      </c>
      <c r="I33" s="1">
        <f t="shared" si="11"/>
        <v>2.6176948307873149E-2</v>
      </c>
      <c r="J33" s="1">
        <f t="shared" si="11"/>
        <v>2.6176948307873149E-2</v>
      </c>
      <c r="K33" s="1">
        <f t="shared" si="11"/>
        <v>2.6176948307873149E-2</v>
      </c>
      <c r="L33" s="1">
        <f t="shared" si="11"/>
        <v>2.6176948307873149E-2</v>
      </c>
      <c r="M33" s="1">
        <f t="shared" si="11"/>
        <v>2.6176948307873149E-2</v>
      </c>
      <c r="N33" s="1">
        <f t="shared" si="11"/>
        <v>2.6176948307873149E-2</v>
      </c>
      <c r="O33" s="1">
        <f t="shared" si="11"/>
        <v>2.6176948307873149E-2</v>
      </c>
      <c r="P33" s="1">
        <f t="shared" si="11"/>
        <v>2.6176948307873149E-2</v>
      </c>
      <c r="Q33" s="1">
        <f t="shared" si="11"/>
        <v>2.6176948307873149E-2</v>
      </c>
      <c r="R33" s="1">
        <f t="shared" si="11"/>
        <v>2.6176948307873149E-2</v>
      </c>
      <c r="S33" s="1">
        <f t="shared" si="11"/>
        <v>2.6176948307873149E-2</v>
      </c>
      <c r="T33" s="1">
        <f t="shared" si="11"/>
        <v>2.6176948307873149E-2</v>
      </c>
      <c r="U33" s="1">
        <f t="shared" si="11"/>
        <v>2.6176948307873149E-2</v>
      </c>
      <c r="V33" s="1">
        <f t="shared" si="11"/>
        <v>2.6176948307873149E-2</v>
      </c>
      <c r="W33" s="1">
        <f t="shared" si="11"/>
        <v>2.6176948307873149E-2</v>
      </c>
      <c r="X33" s="1">
        <f t="shared" si="11"/>
        <v>2.6176948307873149E-2</v>
      </c>
      <c r="Y33" s="1">
        <f t="shared" si="11"/>
        <v>2.6176948307873149E-2</v>
      </c>
      <c r="Z33" s="1">
        <f t="shared" si="11"/>
        <v>2.6176948307873149E-2</v>
      </c>
    </row>
    <row r="34" spans="1:27" x14ac:dyDescent="0.2">
      <c r="A34" s="17" t="s">
        <v>172</v>
      </c>
      <c r="B34" s="1">
        <v>0</v>
      </c>
      <c r="C34" s="1">
        <f t="shared" ref="C34:Z34" si="12">B34</f>
        <v>0</v>
      </c>
      <c r="D34" s="1">
        <f t="shared" si="12"/>
        <v>0</v>
      </c>
      <c r="E34" s="1">
        <f t="shared" si="12"/>
        <v>0</v>
      </c>
      <c r="F34" s="1">
        <f t="shared" si="12"/>
        <v>0</v>
      </c>
      <c r="G34" s="1">
        <f t="shared" si="12"/>
        <v>0</v>
      </c>
      <c r="H34" s="1">
        <f t="shared" si="12"/>
        <v>0</v>
      </c>
      <c r="I34" s="1">
        <f t="shared" si="12"/>
        <v>0</v>
      </c>
      <c r="J34" s="1">
        <f t="shared" si="12"/>
        <v>0</v>
      </c>
      <c r="K34" s="1">
        <f t="shared" si="12"/>
        <v>0</v>
      </c>
      <c r="L34" s="1">
        <f t="shared" si="12"/>
        <v>0</v>
      </c>
      <c r="M34" s="1">
        <f t="shared" si="12"/>
        <v>0</v>
      </c>
      <c r="N34" s="1">
        <f t="shared" si="12"/>
        <v>0</v>
      </c>
      <c r="O34" s="1">
        <f t="shared" si="12"/>
        <v>0</v>
      </c>
      <c r="P34" s="1">
        <f t="shared" si="12"/>
        <v>0</v>
      </c>
      <c r="Q34" s="1">
        <f t="shared" si="12"/>
        <v>0</v>
      </c>
      <c r="R34" s="1">
        <f t="shared" si="12"/>
        <v>0</v>
      </c>
      <c r="S34" s="1">
        <f t="shared" si="12"/>
        <v>0</v>
      </c>
      <c r="T34" s="1">
        <f t="shared" si="12"/>
        <v>0</v>
      </c>
      <c r="U34" s="1">
        <f t="shared" si="12"/>
        <v>0</v>
      </c>
      <c r="V34" s="1">
        <f t="shared" si="12"/>
        <v>0</v>
      </c>
      <c r="W34" s="1">
        <f t="shared" si="12"/>
        <v>0</v>
      </c>
      <c r="X34" s="1">
        <f t="shared" si="12"/>
        <v>0</v>
      </c>
      <c r="Y34" s="1">
        <f t="shared" si="12"/>
        <v>0</v>
      </c>
      <c r="Z34" s="1">
        <f t="shared" si="12"/>
        <v>0</v>
      </c>
    </row>
    <row r="35" spans="1:27" x14ac:dyDescent="0.2">
      <c r="A35" s="17" t="s">
        <v>175</v>
      </c>
      <c r="B35" s="1">
        <f>'Tyre Char.'!$D$14*'Tyre Char.'!$D$15</f>
        <v>1.25</v>
      </c>
      <c r="C35" s="1">
        <f t="shared" ref="C35:Z35" si="13">B35</f>
        <v>1.25</v>
      </c>
      <c r="D35" s="1">
        <f t="shared" si="13"/>
        <v>1.25</v>
      </c>
      <c r="E35" s="1">
        <f t="shared" si="13"/>
        <v>1.25</v>
      </c>
      <c r="F35" s="1">
        <f t="shared" si="13"/>
        <v>1.25</v>
      </c>
      <c r="G35" s="1">
        <f t="shared" si="13"/>
        <v>1.25</v>
      </c>
      <c r="H35" s="1">
        <f t="shared" si="13"/>
        <v>1.25</v>
      </c>
      <c r="I35" s="1">
        <f t="shared" si="13"/>
        <v>1.25</v>
      </c>
      <c r="J35" s="1">
        <f t="shared" si="13"/>
        <v>1.25</v>
      </c>
      <c r="K35" s="1">
        <f t="shared" si="13"/>
        <v>1.25</v>
      </c>
      <c r="L35" s="1">
        <f t="shared" si="13"/>
        <v>1.25</v>
      </c>
      <c r="M35" s="1">
        <f t="shared" si="13"/>
        <v>1.25</v>
      </c>
      <c r="N35" s="1">
        <f t="shared" si="13"/>
        <v>1.25</v>
      </c>
      <c r="O35" s="1">
        <f t="shared" si="13"/>
        <v>1.25</v>
      </c>
      <c r="P35" s="1">
        <f t="shared" si="13"/>
        <v>1.25</v>
      </c>
      <c r="Q35" s="1">
        <f t="shared" si="13"/>
        <v>1.25</v>
      </c>
      <c r="R35" s="1">
        <f t="shared" si="13"/>
        <v>1.25</v>
      </c>
      <c r="S35" s="1">
        <f t="shared" si="13"/>
        <v>1.25</v>
      </c>
      <c r="T35" s="1">
        <f t="shared" si="13"/>
        <v>1.25</v>
      </c>
      <c r="U35" s="1">
        <f t="shared" si="13"/>
        <v>1.25</v>
      </c>
      <c r="V35" s="1">
        <f t="shared" si="13"/>
        <v>1.25</v>
      </c>
      <c r="W35" s="1">
        <f t="shared" si="13"/>
        <v>1.25</v>
      </c>
      <c r="X35" s="1">
        <f t="shared" si="13"/>
        <v>1.25</v>
      </c>
      <c r="Y35" s="1">
        <f t="shared" si="13"/>
        <v>1.25</v>
      </c>
      <c r="Z35" s="1">
        <f t="shared" si="13"/>
        <v>1.25</v>
      </c>
    </row>
    <row r="36" spans="1:27" x14ac:dyDescent="0.2">
      <c r="A36" s="17" t="s">
        <v>19</v>
      </c>
      <c r="B36" s="6">
        <f>('Tyre Char.'!$D$16+'Tyre Char.'!$D$17*B34)*'Tyre Char.'!$D$18</f>
        <v>1.23</v>
      </c>
      <c r="C36" s="6">
        <f>('Tyre Char.'!$D$16+'Tyre Char.'!$D$17*C34)*'Tyre Char.'!$D$18</f>
        <v>1.23</v>
      </c>
      <c r="D36" s="6">
        <f>('Tyre Char.'!$D$16+'Tyre Char.'!$D$17*D34)*'Tyre Char.'!$D$18</f>
        <v>1.23</v>
      </c>
      <c r="E36" s="6">
        <f>('Tyre Char.'!$D$16+'Tyre Char.'!$D$17*E34)*'Tyre Char.'!$D$18</f>
        <v>1.23</v>
      </c>
      <c r="F36" s="6">
        <f>('Tyre Char.'!$D$16+'Tyre Char.'!$D$17*F34)*'Tyre Char.'!$D$18</f>
        <v>1.23</v>
      </c>
      <c r="G36" s="6">
        <f>('Tyre Char.'!$D$16+'Tyre Char.'!$D$17*G34)*'Tyre Char.'!$D$18</f>
        <v>1.23</v>
      </c>
      <c r="H36" s="6">
        <f>('Tyre Char.'!$D$16+'Tyre Char.'!$D$17*H34)*'Tyre Char.'!$D$18</f>
        <v>1.23</v>
      </c>
      <c r="I36" s="6">
        <f>('Tyre Char.'!$D$16+'Tyre Char.'!$D$17*I34)*'Tyre Char.'!$D$18</f>
        <v>1.23</v>
      </c>
      <c r="J36" s="6">
        <f>('Tyre Char.'!$D$16+'Tyre Char.'!$D$17*J34)*'Tyre Char.'!$D$18</f>
        <v>1.23</v>
      </c>
      <c r="K36" s="6">
        <f>('Tyre Char.'!$D$16+'Tyre Char.'!$D$17*K34)*'Tyre Char.'!$D$18</f>
        <v>1.23</v>
      </c>
      <c r="L36" s="6">
        <f>('Tyre Char.'!$D$16+'Tyre Char.'!$D$17*L34)*'Tyre Char.'!$D$18</f>
        <v>1.23</v>
      </c>
      <c r="M36" s="6">
        <f>('Tyre Char.'!$D$16+'Tyre Char.'!$D$17*M34)*'Tyre Char.'!$D$18</f>
        <v>1.23</v>
      </c>
      <c r="N36" s="6">
        <f>('Tyre Char.'!$D$16+'Tyre Char.'!$D$17*N34)*'Tyre Char.'!$D$18</f>
        <v>1.23</v>
      </c>
      <c r="O36" s="6">
        <f>('Tyre Char.'!$D$16+'Tyre Char.'!$D$17*O34)*'Tyre Char.'!$D$18</f>
        <v>1.23</v>
      </c>
      <c r="P36" s="6">
        <f>('Tyre Char.'!$D$16+'Tyre Char.'!$D$17*P34)*'Tyre Char.'!$D$18</f>
        <v>1.23</v>
      </c>
      <c r="Q36" s="6">
        <f>('Tyre Char.'!$D$16+'Tyre Char.'!$D$17*Q34)*'Tyre Char.'!$D$18</f>
        <v>1.23</v>
      </c>
      <c r="R36" s="6">
        <f>('Tyre Char.'!$D$16+'Tyre Char.'!$D$17*R34)*'Tyre Char.'!$D$18</f>
        <v>1.23</v>
      </c>
      <c r="S36" s="6">
        <f>('Tyre Char.'!$D$16+'Tyre Char.'!$D$17*S34)*'Tyre Char.'!$D$18</f>
        <v>1.23</v>
      </c>
      <c r="T36" s="6">
        <f>('Tyre Char.'!$D$16+'Tyre Char.'!$D$17*T34)*'Tyre Char.'!$D$18</f>
        <v>1.23</v>
      </c>
      <c r="U36" s="6">
        <f>('Tyre Char.'!$D$16+'Tyre Char.'!$D$17*U34)*'Tyre Char.'!$D$18</f>
        <v>1.23</v>
      </c>
      <c r="V36" s="6">
        <f>('Tyre Char.'!$D$16+'Tyre Char.'!$D$17*V34)*'Tyre Char.'!$D$18</f>
        <v>1.23</v>
      </c>
      <c r="W36" s="6">
        <f>('Tyre Char.'!$D$16+'Tyre Char.'!$D$17*W34)*'Tyre Char.'!$D$18</f>
        <v>1.23</v>
      </c>
      <c r="X36" s="6">
        <f>('Tyre Char.'!$D$16+'Tyre Char.'!$D$17*X34)*'Tyre Char.'!$D$18</f>
        <v>1.23</v>
      </c>
      <c r="Y36" s="6">
        <f>('Tyre Char.'!$D$16+'Tyre Char.'!$D$17*Y34)*'Tyre Char.'!$D$18</f>
        <v>1.23</v>
      </c>
      <c r="Z36" s="6">
        <f>('Tyre Char.'!$D$16+'Tyre Char.'!$D$17*Z34)*'Tyre Char.'!$D$18</f>
        <v>1.23</v>
      </c>
      <c r="AA36" s="6"/>
    </row>
    <row r="37" spans="1:27" x14ac:dyDescent="0.2">
      <c r="A37" s="17" t="s">
        <v>176</v>
      </c>
      <c r="B37" s="1">
        <f t="shared" ref="B37:Z37" si="14">B36*B31</f>
        <v>675.71280000000002</v>
      </c>
      <c r="C37" s="1">
        <f t="shared" si="14"/>
        <v>1215.8057711001168</v>
      </c>
      <c r="D37" s="1">
        <f t="shared" si="14"/>
        <v>1318.2846494668324</v>
      </c>
      <c r="E37" s="1">
        <f t="shared" si="14"/>
        <v>1313.8826421678464</v>
      </c>
      <c r="F37" s="1">
        <f t="shared" si="14"/>
        <v>1314.4391443986951</v>
      </c>
      <c r="G37" s="1">
        <f t="shared" si="14"/>
        <v>1314.3685855035158</v>
      </c>
      <c r="H37" s="1">
        <f t="shared" si="14"/>
        <v>1314.3775283554214</v>
      </c>
      <c r="I37" s="1">
        <f t="shared" si="14"/>
        <v>1314.3763948576664</v>
      </c>
      <c r="J37" s="1">
        <f t="shared" si="14"/>
        <v>1314.3765385265472</v>
      </c>
      <c r="K37" s="1">
        <f t="shared" si="14"/>
        <v>1314.3765203167513</v>
      </c>
      <c r="L37" s="1">
        <f t="shared" si="14"/>
        <v>1314.3765226248129</v>
      </c>
      <c r="M37" s="1">
        <f t="shared" si="14"/>
        <v>1314.3765223322698</v>
      </c>
      <c r="N37" s="1">
        <f t="shared" si="14"/>
        <v>1314.3765223693492</v>
      </c>
      <c r="O37" s="1">
        <f t="shared" si="14"/>
        <v>1314.3765223646494</v>
      </c>
      <c r="P37" s="1">
        <f t="shared" si="14"/>
        <v>1314.3765223652451</v>
      </c>
      <c r="Q37" s="1">
        <f t="shared" si="14"/>
        <v>1314.3765223651696</v>
      </c>
      <c r="R37" s="1">
        <f t="shared" si="14"/>
        <v>1314.3765223651792</v>
      </c>
      <c r="S37" s="1">
        <f t="shared" si="14"/>
        <v>1314.3765223651781</v>
      </c>
      <c r="T37" s="1">
        <f t="shared" si="14"/>
        <v>1314.3765223651783</v>
      </c>
      <c r="U37" s="1">
        <f t="shared" si="14"/>
        <v>1314.3765223651781</v>
      </c>
      <c r="V37" s="1">
        <f t="shared" si="14"/>
        <v>1314.3765223651783</v>
      </c>
      <c r="W37" s="1">
        <f t="shared" si="14"/>
        <v>1314.3765223651781</v>
      </c>
      <c r="X37" s="1">
        <f t="shared" si="14"/>
        <v>1314.3765223651783</v>
      </c>
      <c r="Y37" s="1">
        <f t="shared" si="14"/>
        <v>1314.3765223651781</v>
      </c>
      <c r="Z37" s="1">
        <f t="shared" si="14"/>
        <v>1314.3765223651783</v>
      </c>
    </row>
    <row r="38" spans="1:27" x14ac:dyDescent="0.2">
      <c r="A38" s="17" t="s">
        <v>177</v>
      </c>
      <c r="B38" s="1">
        <f>B31*('Tyre Char.'!$D$24+'Tyre Char.'!$D$25*B34)*EXP('Tyre Char.'!$D$26*B34)*'Tyre Char.'!$D$27</f>
        <v>8789.76</v>
      </c>
      <c r="C38" s="1">
        <f>C31*('Tyre Char.'!$D$24+'Tyre Char.'!$D$25*C34)*EXP('Tyre Char.'!$D$26*C34)*'Tyre Char.'!$D$27</f>
        <v>15815.359624066561</v>
      </c>
      <c r="D38" s="1">
        <f>D31*('Tyre Char.'!$D$24+'Tyre Char.'!$D$25*D34)*EXP('Tyre Char.'!$D$26*D34)*'Tyre Char.'!$D$27</f>
        <v>17148.4182044466</v>
      </c>
      <c r="E38" s="1">
        <f>E31*('Tyre Char.'!$D$24+'Tyre Char.'!$D$25*E34)*EXP('Tyre Char.'!$D$26*E34)*'Tyre Char.'!$D$27</f>
        <v>17091.156320882554</v>
      </c>
      <c r="F38" s="1">
        <f>F31*('Tyre Char.'!$D$24+'Tyre Char.'!$D$25*F34)*EXP('Tyre Char.'!$D$26*F34)*'Tyre Char.'!$D$27</f>
        <v>17098.395374291969</v>
      </c>
      <c r="G38" s="1">
        <f>G31*('Tyre Char.'!$D$24+'Tyre Char.'!$D$25*G34)*EXP('Tyre Char.'!$D$26*G34)*'Tyre Char.'!$D$27</f>
        <v>17097.477535005084</v>
      </c>
      <c r="H38" s="1">
        <f>H31*('Tyre Char.'!$D$24+'Tyre Char.'!$D$25*H34)*EXP('Tyre Char.'!$D$26*H34)*'Tyre Char.'!$D$27</f>
        <v>17097.593864785969</v>
      </c>
      <c r="I38" s="1">
        <f>I31*('Tyre Char.'!$D$24+'Tyre Char.'!$D$25*I34)*EXP('Tyre Char.'!$D$26*I34)*'Tyre Char.'!$D$27</f>
        <v>17097.579120099726</v>
      </c>
      <c r="J38" s="1">
        <f>J31*('Tyre Char.'!$D$24+'Tyre Char.'!$D$25*J34)*EXP('Tyre Char.'!$D$26*J34)*'Tyre Char.'!$D$27</f>
        <v>17097.580988963215</v>
      </c>
      <c r="K38" s="1">
        <f>K31*('Tyre Char.'!$D$24+'Tyre Char.'!$D$25*K34)*EXP('Tyre Char.'!$D$26*K34)*'Tyre Char.'!$D$27</f>
        <v>17097.580752087822</v>
      </c>
      <c r="L38" s="1">
        <f>L31*('Tyre Char.'!$D$24+'Tyre Char.'!$D$25*L34)*EXP('Tyre Char.'!$D$26*L34)*'Tyre Char.'!$D$27</f>
        <v>17097.580782111389</v>
      </c>
      <c r="M38" s="1">
        <f>M31*('Tyre Char.'!$D$24+'Tyre Char.'!$D$25*M34)*EXP('Tyre Char.'!$D$26*M34)*'Tyre Char.'!$D$27</f>
        <v>17097.58077830595</v>
      </c>
      <c r="N38" s="1">
        <f>N31*('Tyre Char.'!$D$24+'Tyre Char.'!$D$25*N34)*EXP('Tyre Char.'!$D$26*N34)*'Tyre Char.'!$D$27</f>
        <v>17097.580778788284</v>
      </c>
      <c r="O38" s="1">
        <f>O31*('Tyre Char.'!$D$24+'Tyre Char.'!$D$25*O34)*EXP('Tyre Char.'!$D$26*O34)*'Tyre Char.'!$D$27</f>
        <v>17097.580778727148</v>
      </c>
      <c r="P38" s="1">
        <f>P31*('Tyre Char.'!$D$24+'Tyre Char.'!$D$25*P34)*EXP('Tyre Char.'!$D$26*P34)*'Tyre Char.'!$D$27</f>
        <v>17097.580778734897</v>
      </c>
      <c r="Q38" s="1">
        <f>Q31*('Tyre Char.'!$D$24+'Tyre Char.'!$D$25*Q34)*EXP('Tyre Char.'!$D$26*Q34)*'Tyre Char.'!$D$27</f>
        <v>17097.580778733914</v>
      </c>
      <c r="R38" s="1">
        <f>R31*('Tyre Char.'!$D$24+'Tyre Char.'!$D$25*R34)*EXP('Tyre Char.'!$D$26*R34)*'Tyre Char.'!$D$27</f>
        <v>17097.580778734038</v>
      </c>
      <c r="S38" s="1">
        <f>S31*('Tyre Char.'!$D$24+'Tyre Char.'!$D$25*S34)*EXP('Tyre Char.'!$D$26*S34)*'Tyre Char.'!$D$27</f>
        <v>17097.580778734024</v>
      </c>
      <c r="T38" s="1">
        <f>T31*('Tyre Char.'!$D$24+'Tyre Char.'!$D$25*T34)*EXP('Tyre Char.'!$D$26*T34)*'Tyre Char.'!$D$27</f>
        <v>17097.580778734027</v>
      </c>
      <c r="U38" s="1">
        <f>U31*('Tyre Char.'!$D$24+'Tyre Char.'!$D$25*U34)*EXP('Tyre Char.'!$D$26*U34)*'Tyre Char.'!$D$27</f>
        <v>17097.580778734024</v>
      </c>
      <c r="V38" s="1">
        <f>V31*('Tyre Char.'!$D$24+'Tyre Char.'!$D$25*V34)*EXP('Tyre Char.'!$D$26*V34)*'Tyre Char.'!$D$27</f>
        <v>17097.580778734027</v>
      </c>
      <c r="W38" s="1">
        <f>W31*('Tyre Char.'!$D$24+'Tyre Char.'!$D$25*W34)*EXP('Tyre Char.'!$D$26*W34)*'Tyre Char.'!$D$27</f>
        <v>17097.580778734024</v>
      </c>
      <c r="X38" s="1">
        <f>X31*('Tyre Char.'!$D$24+'Tyre Char.'!$D$25*X34)*EXP('Tyre Char.'!$D$26*X34)*'Tyre Char.'!$D$27</f>
        <v>17097.580778734027</v>
      </c>
      <c r="Y38" s="1">
        <f>Y31*('Tyre Char.'!$D$24+'Tyre Char.'!$D$25*Y34)*EXP('Tyre Char.'!$D$26*Y34)*'Tyre Char.'!$D$27</f>
        <v>17097.580778734024</v>
      </c>
      <c r="Z38" s="1">
        <f>Z31*('Tyre Char.'!$D$24+'Tyre Char.'!$D$25*Z34)*EXP('Tyre Char.'!$D$26*Z34)*'Tyre Char.'!$D$27</f>
        <v>17097.580778734027</v>
      </c>
    </row>
    <row r="39" spans="1:27" x14ac:dyDescent="0.2">
      <c r="A39" s="17" t="s">
        <v>178</v>
      </c>
      <c r="B39" s="1">
        <f t="shared" ref="B39:Z39" si="15">B38/(B35*B37)</f>
        <v>10.40650406504065</v>
      </c>
      <c r="C39" s="1">
        <f t="shared" si="15"/>
        <v>10.406504065040652</v>
      </c>
      <c r="D39" s="1">
        <f t="shared" si="15"/>
        <v>10.40650406504065</v>
      </c>
      <c r="E39" s="1">
        <f t="shared" si="15"/>
        <v>10.40650406504065</v>
      </c>
      <c r="F39" s="1">
        <f t="shared" si="15"/>
        <v>10.40650406504065</v>
      </c>
      <c r="G39" s="1">
        <f t="shared" si="15"/>
        <v>10.406504065040652</v>
      </c>
      <c r="H39" s="1">
        <f t="shared" si="15"/>
        <v>10.40650406504065</v>
      </c>
      <c r="I39" s="1">
        <f t="shared" si="15"/>
        <v>10.406504065040652</v>
      </c>
      <c r="J39" s="1">
        <f t="shared" si="15"/>
        <v>10.40650406504065</v>
      </c>
      <c r="K39" s="1">
        <f t="shared" si="15"/>
        <v>10.40650406504065</v>
      </c>
      <c r="L39" s="1">
        <f t="shared" si="15"/>
        <v>10.406504065040652</v>
      </c>
      <c r="M39" s="1">
        <f t="shared" si="15"/>
        <v>10.406504065040652</v>
      </c>
      <c r="N39" s="1">
        <f t="shared" si="15"/>
        <v>10.406504065040652</v>
      </c>
      <c r="O39" s="1">
        <f t="shared" si="15"/>
        <v>10.40650406504065</v>
      </c>
      <c r="P39" s="1">
        <f t="shared" si="15"/>
        <v>10.40650406504065</v>
      </c>
      <c r="Q39" s="1">
        <f t="shared" si="15"/>
        <v>10.40650406504065</v>
      </c>
      <c r="R39" s="1">
        <f t="shared" si="15"/>
        <v>10.40650406504065</v>
      </c>
      <c r="S39" s="1">
        <f t="shared" si="15"/>
        <v>10.40650406504065</v>
      </c>
      <c r="T39" s="1">
        <f t="shared" si="15"/>
        <v>10.406504065040652</v>
      </c>
      <c r="U39" s="1">
        <f t="shared" si="15"/>
        <v>10.40650406504065</v>
      </c>
      <c r="V39" s="1">
        <f t="shared" si="15"/>
        <v>10.406504065040652</v>
      </c>
      <c r="W39" s="1">
        <f t="shared" si="15"/>
        <v>10.40650406504065</v>
      </c>
      <c r="X39" s="1">
        <f t="shared" si="15"/>
        <v>10.406504065040652</v>
      </c>
      <c r="Y39" s="1">
        <f t="shared" si="15"/>
        <v>10.40650406504065</v>
      </c>
      <c r="Z39" s="1">
        <f t="shared" si="15"/>
        <v>10.406504065040652</v>
      </c>
    </row>
    <row r="40" spans="1:27" x14ac:dyDescent="0.2">
      <c r="A40" s="17" t="s">
        <v>209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</row>
    <row r="41" spans="1:27" x14ac:dyDescent="0.2">
      <c r="A41" s="17" t="s">
        <v>173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</row>
    <row r="42" spans="1:27" x14ac:dyDescent="0.2">
      <c r="A42" s="17" t="s">
        <v>179</v>
      </c>
      <c r="B42" s="1">
        <f t="shared" ref="B42:Z42" si="16">B32+B40</f>
        <v>1.0022472422902517</v>
      </c>
      <c r="C42" s="1">
        <f t="shared" si="16"/>
        <v>1.0022472422902517</v>
      </c>
      <c r="D42" s="1">
        <f t="shared" si="16"/>
        <v>1.0022472422902517</v>
      </c>
      <c r="E42" s="1">
        <f t="shared" si="16"/>
        <v>1.0022472422902517</v>
      </c>
      <c r="F42" s="1">
        <f t="shared" si="16"/>
        <v>1.0022472422902517</v>
      </c>
      <c r="G42" s="1">
        <f t="shared" si="16"/>
        <v>1.0022472422902517</v>
      </c>
      <c r="H42" s="1">
        <f t="shared" si="16"/>
        <v>1.0022472422902517</v>
      </c>
      <c r="I42" s="1">
        <f t="shared" si="16"/>
        <v>1.0022472422902517</v>
      </c>
      <c r="J42" s="1">
        <f t="shared" si="16"/>
        <v>1.0022472422902517</v>
      </c>
      <c r="K42" s="1">
        <f t="shared" si="16"/>
        <v>1.0022472422902517</v>
      </c>
      <c r="L42" s="1">
        <f t="shared" si="16"/>
        <v>1.0022472422902517</v>
      </c>
      <c r="M42" s="1">
        <f t="shared" si="16"/>
        <v>1.0022472422902517</v>
      </c>
      <c r="N42" s="1">
        <f t="shared" si="16"/>
        <v>1.0022472422902517</v>
      </c>
      <c r="O42" s="1">
        <f t="shared" si="16"/>
        <v>1.0022472422902517</v>
      </c>
      <c r="P42" s="1">
        <f t="shared" si="16"/>
        <v>1.0022472422902517</v>
      </c>
      <c r="Q42" s="1">
        <f t="shared" si="16"/>
        <v>1.0022472422902517</v>
      </c>
      <c r="R42" s="1">
        <f t="shared" si="16"/>
        <v>1.0022472422902517</v>
      </c>
      <c r="S42" s="1">
        <f t="shared" si="16"/>
        <v>1.0022472422902517</v>
      </c>
      <c r="T42" s="1">
        <f t="shared" si="16"/>
        <v>1.0022472422902517</v>
      </c>
      <c r="U42" s="1">
        <f t="shared" si="16"/>
        <v>1.0022472422902517</v>
      </c>
      <c r="V42" s="1">
        <f t="shared" si="16"/>
        <v>1.0022472422902517</v>
      </c>
      <c r="W42" s="1">
        <f t="shared" si="16"/>
        <v>1.0022472422902517</v>
      </c>
      <c r="X42" s="1">
        <f t="shared" si="16"/>
        <v>1.0022472422902517</v>
      </c>
      <c r="Y42" s="1">
        <f t="shared" si="16"/>
        <v>1.0022472422902517</v>
      </c>
      <c r="Z42" s="1">
        <f t="shared" si="16"/>
        <v>1.0022472422902517</v>
      </c>
    </row>
    <row r="43" spans="1:27" x14ac:dyDescent="0.2">
      <c r="A43" s="17" t="s">
        <v>180</v>
      </c>
      <c r="B43" s="1">
        <f>('Tyre Char.'!$D$19+'Tyre Char.'!$D$20*B34+'Tyre Char.'!$D$21*B34^2)*(1-'Tyre Char.'!$D$22*SIGN(B42))*'Tyre Char.'!$D$23</f>
        <v>-0.8</v>
      </c>
      <c r="C43" s="1">
        <f>('Tyre Char.'!$D$19+'Tyre Char.'!$D$20*C34+'Tyre Char.'!$D$21*C34^2)*(1-'Tyre Char.'!$D$22*SIGN(C42))*'Tyre Char.'!$D$23</f>
        <v>-0.8</v>
      </c>
      <c r="D43" s="1">
        <f>('Tyre Char.'!$D$19+'Tyre Char.'!$D$20*D34+'Tyre Char.'!$D$21*D34^2)*(1-'Tyre Char.'!$D$22*SIGN(D42))*'Tyre Char.'!$D$23</f>
        <v>-0.8</v>
      </c>
      <c r="E43" s="1">
        <f>('Tyre Char.'!$D$19+'Tyre Char.'!$D$20*E34+'Tyre Char.'!$D$21*E34^2)*(1-'Tyre Char.'!$D$22*SIGN(E42))*'Tyre Char.'!$D$23</f>
        <v>-0.8</v>
      </c>
      <c r="F43" s="1">
        <f>('Tyre Char.'!$D$19+'Tyre Char.'!$D$20*F34+'Tyre Char.'!$D$21*F34^2)*(1-'Tyre Char.'!$D$22*SIGN(F42))*'Tyre Char.'!$D$23</f>
        <v>-0.8</v>
      </c>
      <c r="G43" s="1">
        <f>('Tyre Char.'!$D$19+'Tyre Char.'!$D$20*G34+'Tyre Char.'!$D$21*G34^2)*(1-'Tyre Char.'!$D$22*SIGN(G42))*'Tyre Char.'!$D$23</f>
        <v>-0.8</v>
      </c>
      <c r="H43" s="1">
        <f>('Tyre Char.'!$D$19+'Tyre Char.'!$D$20*H34+'Tyre Char.'!$D$21*H34^2)*(1-'Tyre Char.'!$D$22*SIGN(H42))*'Tyre Char.'!$D$23</f>
        <v>-0.8</v>
      </c>
      <c r="I43" s="1">
        <f>('Tyre Char.'!$D$19+'Tyre Char.'!$D$20*I34+'Tyre Char.'!$D$21*I34^2)*(1-'Tyre Char.'!$D$22*SIGN(I42))*'Tyre Char.'!$D$23</f>
        <v>-0.8</v>
      </c>
      <c r="J43" s="1">
        <f>('Tyre Char.'!$D$19+'Tyre Char.'!$D$20*J34+'Tyre Char.'!$D$21*J34^2)*(1-'Tyre Char.'!$D$22*SIGN(J42))*'Tyre Char.'!$D$23</f>
        <v>-0.8</v>
      </c>
      <c r="K43" s="1">
        <f>('Tyre Char.'!$D$19+'Tyre Char.'!$D$20*K34+'Tyre Char.'!$D$21*K34^2)*(1-'Tyre Char.'!$D$22*SIGN(K42))*'Tyre Char.'!$D$23</f>
        <v>-0.8</v>
      </c>
      <c r="L43" s="1">
        <f>('Tyre Char.'!$D$19+'Tyre Char.'!$D$20*L34+'Tyre Char.'!$D$21*L34^2)*(1-'Tyre Char.'!$D$22*SIGN(L42))*'Tyre Char.'!$D$23</f>
        <v>-0.8</v>
      </c>
      <c r="M43" s="1">
        <f>('Tyre Char.'!$D$19+'Tyre Char.'!$D$20*M34+'Tyre Char.'!$D$21*M34^2)*(1-'Tyre Char.'!$D$22*SIGN(M42))*'Tyre Char.'!$D$23</f>
        <v>-0.8</v>
      </c>
      <c r="N43" s="1">
        <f>('Tyre Char.'!$D$19+'Tyre Char.'!$D$20*N34+'Tyre Char.'!$D$21*N34^2)*(1-'Tyre Char.'!$D$22*SIGN(N42))*'Tyre Char.'!$D$23</f>
        <v>-0.8</v>
      </c>
      <c r="O43" s="1">
        <f>('Tyre Char.'!$D$19+'Tyre Char.'!$D$20*O34+'Tyre Char.'!$D$21*O34^2)*(1-'Tyre Char.'!$D$22*SIGN(O42))*'Tyre Char.'!$D$23</f>
        <v>-0.8</v>
      </c>
      <c r="P43" s="1">
        <f>('Tyre Char.'!$D$19+'Tyre Char.'!$D$20*P34+'Tyre Char.'!$D$21*P34^2)*(1-'Tyre Char.'!$D$22*SIGN(P42))*'Tyre Char.'!$D$23</f>
        <v>-0.8</v>
      </c>
      <c r="Q43" s="1">
        <f>('Tyre Char.'!$D$19+'Tyre Char.'!$D$20*Q34+'Tyre Char.'!$D$21*Q34^2)*(1-'Tyre Char.'!$D$22*SIGN(Q42))*'Tyre Char.'!$D$23</f>
        <v>-0.8</v>
      </c>
      <c r="R43" s="1">
        <f>('Tyre Char.'!$D$19+'Tyre Char.'!$D$20*R34+'Tyre Char.'!$D$21*R34^2)*(1-'Tyre Char.'!$D$22*SIGN(R42))*'Tyre Char.'!$D$23</f>
        <v>-0.8</v>
      </c>
      <c r="S43" s="1">
        <f>('Tyre Char.'!$D$19+'Tyre Char.'!$D$20*S34+'Tyre Char.'!$D$21*S34^2)*(1-'Tyre Char.'!$D$22*SIGN(S42))*'Tyre Char.'!$D$23</f>
        <v>-0.8</v>
      </c>
      <c r="T43" s="1">
        <f>('Tyre Char.'!$D$19+'Tyre Char.'!$D$20*T34+'Tyre Char.'!$D$21*T34^2)*(1-'Tyre Char.'!$D$22*SIGN(T42))*'Tyre Char.'!$D$23</f>
        <v>-0.8</v>
      </c>
      <c r="U43" s="1">
        <f>('Tyre Char.'!$D$19+'Tyre Char.'!$D$20*U34+'Tyre Char.'!$D$21*U34^2)*(1-'Tyre Char.'!$D$22*SIGN(U42))*'Tyre Char.'!$D$23</f>
        <v>-0.8</v>
      </c>
      <c r="V43" s="1">
        <f>('Tyre Char.'!$D$19+'Tyre Char.'!$D$20*V34+'Tyre Char.'!$D$21*V34^2)*(1-'Tyre Char.'!$D$22*SIGN(V42))*'Tyre Char.'!$D$23</f>
        <v>-0.8</v>
      </c>
      <c r="W43" s="1">
        <f>('Tyre Char.'!$D$19+'Tyre Char.'!$D$20*W34+'Tyre Char.'!$D$21*W34^2)*(1-'Tyre Char.'!$D$22*SIGN(W42))*'Tyre Char.'!$D$23</f>
        <v>-0.8</v>
      </c>
      <c r="X43" s="1">
        <f>('Tyre Char.'!$D$19+'Tyre Char.'!$D$20*X34+'Tyre Char.'!$D$21*X34^2)*(1-'Tyre Char.'!$D$22*SIGN(X42))*'Tyre Char.'!$D$23</f>
        <v>-0.8</v>
      </c>
      <c r="Y43" s="1">
        <f>('Tyre Char.'!$D$19+'Tyre Char.'!$D$20*Y34+'Tyre Char.'!$D$21*Y34^2)*(1-'Tyre Char.'!$D$22*SIGN(Y42))*'Tyre Char.'!$D$23</f>
        <v>-0.8</v>
      </c>
      <c r="Z43" s="1">
        <f>('Tyre Char.'!$D$19+'Tyre Char.'!$D$20*Z34+'Tyre Char.'!$D$21*Z34^2)*(1-'Tyre Char.'!$D$22*SIGN(Z42))*'Tyre Char.'!$D$23</f>
        <v>-0.8</v>
      </c>
    </row>
    <row r="44" spans="1:27" x14ac:dyDescent="0.2">
      <c r="A44" s="18" t="s">
        <v>181</v>
      </c>
      <c r="B44" s="1">
        <f t="shared" ref="B44:Z44" si="17">B37*SIN(B35*ATAN(B39*B42-B43*(B39*B42-ATAN(B39*B42))))</f>
        <v>641.04247671865016</v>
      </c>
      <c r="C44" s="1">
        <f t="shared" si="17"/>
        <v>1153.4236775074367</v>
      </c>
      <c r="D44" s="1">
        <f t="shared" si="17"/>
        <v>1250.6444405291652</v>
      </c>
      <c r="E44" s="1">
        <f t="shared" si="17"/>
        <v>1246.4682969642136</v>
      </c>
      <c r="F44" s="1">
        <f t="shared" si="17"/>
        <v>1246.9962454777872</v>
      </c>
      <c r="G44" s="1">
        <f t="shared" si="17"/>
        <v>1246.929306907258</v>
      </c>
      <c r="H44" s="1">
        <f t="shared" si="17"/>
        <v>1246.9377909080561</v>
      </c>
      <c r="I44" s="1">
        <f t="shared" si="17"/>
        <v>1246.9367155692312</v>
      </c>
      <c r="J44" s="1">
        <f t="shared" si="17"/>
        <v>1246.9368518665683</v>
      </c>
      <c r="K44" s="1">
        <f t="shared" si="17"/>
        <v>1246.9368345911034</v>
      </c>
      <c r="L44" s="1">
        <f t="shared" si="17"/>
        <v>1246.9368367807401</v>
      </c>
      <c r="M44" s="1">
        <f t="shared" si="17"/>
        <v>1246.9368365032074</v>
      </c>
      <c r="N44" s="1">
        <f t="shared" si="17"/>
        <v>1246.9368365383841</v>
      </c>
      <c r="O44" s="1">
        <f t="shared" si="17"/>
        <v>1246.9368365339255</v>
      </c>
      <c r="P44" s="1">
        <f t="shared" si="17"/>
        <v>1246.9368365344906</v>
      </c>
      <c r="Q44" s="1">
        <f t="shared" si="17"/>
        <v>1246.9368365344189</v>
      </c>
      <c r="R44" s="1">
        <f t="shared" si="17"/>
        <v>1246.936836534428</v>
      </c>
      <c r="S44" s="1">
        <f t="shared" si="17"/>
        <v>1246.9368365344269</v>
      </c>
      <c r="T44" s="1">
        <f t="shared" si="17"/>
        <v>1246.9368365344271</v>
      </c>
      <c r="U44" s="1">
        <f t="shared" si="17"/>
        <v>1246.9368365344269</v>
      </c>
      <c r="V44" s="1">
        <f t="shared" si="17"/>
        <v>1246.9368365344271</v>
      </c>
      <c r="W44" s="1">
        <f t="shared" si="17"/>
        <v>1246.9368365344269</v>
      </c>
      <c r="X44" s="1">
        <f t="shared" si="17"/>
        <v>1246.9368365344271</v>
      </c>
      <c r="Y44" s="1">
        <f t="shared" si="17"/>
        <v>1246.9368365344269</v>
      </c>
      <c r="Z44" s="1">
        <f t="shared" si="17"/>
        <v>1246.9368365344271</v>
      </c>
    </row>
    <row r="46" spans="1:27" x14ac:dyDescent="0.2">
      <c r="A46" s="6" t="s">
        <v>230</v>
      </c>
    </row>
    <row r="47" spans="1:27" x14ac:dyDescent="0.2">
      <c r="A47" s="16" t="s">
        <v>203</v>
      </c>
      <c r="B47" s="1">
        <v>5.3</v>
      </c>
      <c r="C47" s="1">
        <v>5.3</v>
      </c>
      <c r="D47" s="1">
        <v>5.3</v>
      </c>
      <c r="E47" s="1">
        <v>5.3</v>
      </c>
      <c r="F47" s="1">
        <v>5.3</v>
      </c>
      <c r="G47" s="1">
        <v>5.3</v>
      </c>
      <c r="H47" s="1">
        <v>5.3</v>
      </c>
      <c r="I47" s="1">
        <v>5.3</v>
      </c>
      <c r="J47" s="1">
        <v>5.3</v>
      </c>
      <c r="K47" s="1">
        <v>5.3</v>
      </c>
      <c r="L47" s="1">
        <v>5.3</v>
      </c>
      <c r="M47" s="1">
        <v>5.3</v>
      </c>
      <c r="N47" s="1">
        <v>5.3</v>
      </c>
      <c r="O47" s="1">
        <v>5.3</v>
      </c>
      <c r="P47" s="1">
        <v>5.3</v>
      </c>
      <c r="Q47" s="1">
        <v>5.3</v>
      </c>
      <c r="R47" s="1">
        <v>5.3</v>
      </c>
      <c r="S47" s="1">
        <v>5.3</v>
      </c>
      <c r="T47" s="1">
        <v>5.3</v>
      </c>
      <c r="U47" s="1">
        <v>5.3</v>
      </c>
      <c r="V47" s="1">
        <v>5.3</v>
      </c>
      <c r="W47" s="1">
        <v>5.3</v>
      </c>
      <c r="X47" s="1">
        <v>5.3</v>
      </c>
      <c r="Y47" s="1">
        <v>5.3</v>
      </c>
      <c r="Z47" s="1">
        <v>5.3</v>
      </c>
    </row>
    <row r="48" spans="1:27" x14ac:dyDescent="0.2">
      <c r="A48" s="17" t="s">
        <v>204</v>
      </c>
      <c r="B48" s="1">
        <f>'Tyre Char.'!$D$3</f>
        <v>1.5</v>
      </c>
      <c r="C48" s="1">
        <f>'Tyre Char.'!$D$3</f>
        <v>1.5</v>
      </c>
      <c r="D48" s="1">
        <f>'Tyre Char.'!$D$3</f>
        <v>1.5</v>
      </c>
      <c r="E48" s="1">
        <f>'Tyre Char.'!$D$3</f>
        <v>1.5</v>
      </c>
      <c r="F48" s="1">
        <f>'Tyre Char.'!$D$3</f>
        <v>1.5</v>
      </c>
      <c r="G48" s="1">
        <f>'Tyre Char.'!$D$3</f>
        <v>1.5</v>
      </c>
      <c r="H48" s="1">
        <f>'Tyre Char.'!$D$3</f>
        <v>1.5</v>
      </c>
      <c r="I48" s="1">
        <f>'Tyre Char.'!$D$3</f>
        <v>1.5</v>
      </c>
      <c r="J48" s="1">
        <f>'Tyre Char.'!$D$3</f>
        <v>1.5</v>
      </c>
      <c r="K48" s="1">
        <f>'Tyre Char.'!$D$3</f>
        <v>1.5</v>
      </c>
      <c r="L48" s="1">
        <f>'Tyre Char.'!$D$3</f>
        <v>1.5</v>
      </c>
      <c r="M48" s="1">
        <f>'Tyre Char.'!$D$3</f>
        <v>1.5</v>
      </c>
      <c r="N48" s="1">
        <f>'Tyre Char.'!$D$3</f>
        <v>1.5</v>
      </c>
      <c r="O48" s="1">
        <f>'Tyre Char.'!$D$3</f>
        <v>1.5</v>
      </c>
      <c r="P48" s="1">
        <f>'Tyre Char.'!$D$3</f>
        <v>1.5</v>
      </c>
      <c r="Q48" s="1">
        <f>'Tyre Char.'!$D$3</f>
        <v>1.5</v>
      </c>
      <c r="R48" s="1">
        <f>'Tyre Char.'!$D$3</f>
        <v>1.5</v>
      </c>
      <c r="S48" s="1">
        <f>'Tyre Char.'!$D$3</f>
        <v>1.5</v>
      </c>
      <c r="T48" s="1">
        <f>'Tyre Char.'!$D$3</f>
        <v>1.5</v>
      </c>
      <c r="U48" s="1">
        <f>'Tyre Char.'!$D$3</f>
        <v>1.5</v>
      </c>
      <c r="V48" s="1">
        <f>'Tyre Char.'!$D$3</f>
        <v>1.5</v>
      </c>
      <c r="W48" s="1">
        <f>'Tyre Char.'!$D$3</f>
        <v>1.5</v>
      </c>
      <c r="X48" s="1">
        <f>'Tyre Char.'!$D$3</f>
        <v>1.5</v>
      </c>
      <c r="Y48" s="1">
        <f>'Tyre Char.'!$D$3</f>
        <v>1.5</v>
      </c>
      <c r="Z48" s="1">
        <f>'Tyre Char.'!$D$3</f>
        <v>1.5</v>
      </c>
    </row>
    <row r="49" spans="1:27" x14ac:dyDescent="0.2">
      <c r="A49" s="17" t="s">
        <v>205</v>
      </c>
      <c r="B49" s="1">
        <f t="shared" ref="B49:Z49" si="18">B48/180*PI()</f>
        <v>2.6179938779914941E-2</v>
      </c>
      <c r="C49" s="1">
        <f t="shared" si="18"/>
        <v>2.6179938779914941E-2</v>
      </c>
      <c r="D49" s="1">
        <f t="shared" si="18"/>
        <v>2.6179938779914941E-2</v>
      </c>
      <c r="E49" s="1">
        <f t="shared" si="18"/>
        <v>2.6179938779914941E-2</v>
      </c>
      <c r="F49" s="1">
        <f t="shared" si="18"/>
        <v>2.6179938779914941E-2</v>
      </c>
      <c r="G49" s="1">
        <f t="shared" si="18"/>
        <v>2.6179938779914941E-2</v>
      </c>
      <c r="H49" s="1">
        <f t="shared" si="18"/>
        <v>2.6179938779914941E-2</v>
      </c>
      <c r="I49" s="1">
        <f t="shared" si="18"/>
        <v>2.6179938779914941E-2</v>
      </c>
      <c r="J49" s="1">
        <f t="shared" si="18"/>
        <v>2.6179938779914941E-2</v>
      </c>
      <c r="K49" s="1">
        <f t="shared" si="18"/>
        <v>2.6179938779914941E-2</v>
      </c>
      <c r="L49" s="1">
        <f t="shared" si="18"/>
        <v>2.6179938779914941E-2</v>
      </c>
      <c r="M49" s="1">
        <f t="shared" si="18"/>
        <v>2.6179938779914941E-2</v>
      </c>
      <c r="N49" s="1">
        <f t="shared" si="18"/>
        <v>2.6179938779914941E-2</v>
      </c>
      <c r="O49" s="1">
        <f t="shared" si="18"/>
        <v>2.6179938779914941E-2</v>
      </c>
      <c r="P49" s="1">
        <f t="shared" si="18"/>
        <v>2.6179938779914941E-2</v>
      </c>
      <c r="Q49" s="1">
        <f t="shared" si="18"/>
        <v>2.6179938779914941E-2</v>
      </c>
      <c r="R49" s="1">
        <f t="shared" si="18"/>
        <v>2.6179938779914941E-2</v>
      </c>
      <c r="S49" s="1">
        <f t="shared" si="18"/>
        <v>2.6179938779914941E-2</v>
      </c>
      <c r="T49" s="1">
        <f t="shared" si="18"/>
        <v>2.6179938779914941E-2</v>
      </c>
      <c r="U49" s="1">
        <f t="shared" si="18"/>
        <v>2.6179938779914941E-2</v>
      </c>
      <c r="V49" s="1">
        <f t="shared" si="18"/>
        <v>2.6179938779914941E-2</v>
      </c>
      <c r="W49" s="1">
        <f t="shared" si="18"/>
        <v>2.6179938779914941E-2</v>
      </c>
      <c r="X49" s="1">
        <f t="shared" si="18"/>
        <v>2.6179938779914941E-2</v>
      </c>
      <c r="Y49" s="1">
        <f t="shared" si="18"/>
        <v>2.6179938779914941E-2</v>
      </c>
      <c r="Z49" s="1">
        <f t="shared" si="18"/>
        <v>2.6179938779914941E-2</v>
      </c>
    </row>
    <row r="50" spans="1:27" x14ac:dyDescent="0.2">
      <c r="A50" s="17" t="s">
        <v>206</v>
      </c>
      <c r="B50" s="9">
        <f>'Rolling or Skidding'!E$24</f>
        <v>824.04000000000008</v>
      </c>
      <c r="C50" s="9">
        <f>'Rolling or Skidding'!F$24</f>
        <v>384.94002349583997</v>
      </c>
      <c r="D50" s="9">
        <f>'Rolling or Skidding'!G$24</f>
        <v>301.62386222208772</v>
      </c>
      <c r="E50" s="9">
        <f>'Rolling or Skidding'!H$24</f>
        <v>305.20272994484037</v>
      </c>
      <c r="F50" s="9">
        <f>'Rolling or Skidding'!I$24</f>
        <v>304.75028910675201</v>
      </c>
      <c r="G50" s="9">
        <f>'Rolling or Skidding'!J$24</f>
        <v>304.80765406218222</v>
      </c>
      <c r="H50" s="9">
        <f>'Rolling or Skidding'!K$24</f>
        <v>304.80038345087701</v>
      </c>
      <c r="I50" s="9">
        <f>'Rolling or Skidding'!L$24</f>
        <v>304.8013049937673</v>
      </c>
      <c r="J50" s="9">
        <f>'Rolling or Skidding'!M$24</f>
        <v>304.80118818979906</v>
      </c>
      <c r="K50" s="9">
        <f>'Rolling or Skidding'!N$24</f>
        <v>304.80120299451119</v>
      </c>
      <c r="L50" s="9">
        <f>'Rolling or Skidding'!O$24</f>
        <v>304.80120111803831</v>
      </c>
      <c r="M50" s="9">
        <f>'Rolling or Skidding'!P$24</f>
        <v>304.80120135587822</v>
      </c>
      <c r="N50" s="9">
        <f>'Rolling or Skidding'!Q$24</f>
        <v>304.80120132573234</v>
      </c>
      <c r="O50" s="9">
        <f>'Rolling or Skidding'!R$24</f>
        <v>304.80120132955335</v>
      </c>
      <c r="P50" s="9">
        <f>'Rolling or Skidding'!S$24</f>
        <v>304.80120132906893</v>
      </c>
      <c r="Q50" s="9">
        <f>'Rolling or Skidding'!T$24</f>
        <v>304.80120132913032</v>
      </c>
      <c r="R50" s="9">
        <f>'Rolling or Skidding'!U$24</f>
        <v>304.8012013291227</v>
      </c>
      <c r="S50" s="9">
        <f>'Rolling or Skidding'!V$24</f>
        <v>304.80120132912373</v>
      </c>
      <c r="T50" s="9">
        <f>'Rolling or Skidding'!W$24</f>
        <v>304.80120132912339</v>
      </c>
      <c r="U50" s="9">
        <f>'Rolling or Skidding'!X$24</f>
        <v>304.80120132912361</v>
      </c>
      <c r="V50" s="9">
        <f>'Rolling or Skidding'!Y$24</f>
        <v>304.80120132912339</v>
      </c>
      <c r="W50" s="9">
        <f>'Rolling or Skidding'!Z$24</f>
        <v>304.80120132912361</v>
      </c>
      <c r="X50" s="9">
        <f>'Rolling or Skidding'!AA$24</f>
        <v>304.80120132912339</v>
      </c>
      <c r="Y50" s="9">
        <f>'Rolling or Skidding'!AB$24</f>
        <v>304.80120132912361</v>
      </c>
      <c r="Z50" s="9">
        <f>'Rolling or Skidding'!AC$24</f>
        <v>304.80120132912339</v>
      </c>
      <c r="AA50" s="9"/>
    </row>
    <row r="51" spans="1:27" x14ac:dyDescent="0.2">
      <c r="A51" s="17" t="s">
        <v>207</v>
      </c>
      <c r="B51" s="1">
        <f t="shared" ref="B51:Z51" si="19">EXP(B47)/1000</f>
        <v>0.20033680997479167</v>
      </c>
      <c r="C51" s="1">
        <f t="shared" si="19"/>
        <v>0.20033680997479167</v>
      </c>
      <c r="D51" s="1">
        <f t="shared" si="19"/>
        <v>0.20033680997479167</v>
      </c>
      <c r="E51" s="1">
        <f t="shared" si="19"/>
        <v>0.20033680997479167</v>
      </c>
      <c r="F51" s="1">
        <f t="shared" si="19"/>
        <v>0.20033680997479167</v>
      </c>
      <c r="G51" s="1">
        <f t="shared" si="19"/>
        <v>0.20033680997479167</v>
      </c>
      <c r="H51" s="1">
        <f t="shared" si="19"/>
        <v>0.20033680997479167</v>
      </c>
      <c r="I51" s="1">
        <f t="shared" si="19"/>
        <v>0.20033680997479167</v>
      </c>
      <c r="J51" s="1">
        <f t="shared" si="19"/>
        <v>0.20033680997479167</v>
      </c>
      <c r="K51" s="1">
        <f t="shared" si="19"/>
        <v>0.20033680997479167</v>
      </c>
      <c r="L51" s="1">
        <f t="shared" si="19"/>
        <v>0.20033680997479167</v>
      </c>
      <c r="M51" s="1">
        <f t="shared" si="19"/>
        <v>0.20033680997479167</v>
      </c>
      <c r="N51" s="1">
        <f t="shared" si="19"/>
        <v>0.20033680997479167</v>
      </c>
      <c r="O51" s="1">
        <f t="shared" si="19"/>
        <v>0.20033680997479167</v>
      </c>
      <c r="P51" s="1">
        <f t="shared" si="19"/>
        <v>0.20033680997479167</v>
      </c>
      <c r="Q51" s="1">
        <f t="shared" si="19"/>
        <v>0.20033680997479167</v>
      </c>
      <c r="R51" s="1">
        <f t="shared" si="19"/>
        <v>0.20033680997479167</v>
      </c>
      <c r="S51" s="1">
        <f t="shared" si="19"/>
        <v>0.20033680997479167</v>
      </c>
      <c r="T51" s="1">
        <f t="shared" si="19"/>
        <v>0.20033680997479167</v>
      </c>
      <c r="U51" s="1">
        <f t="shared" si="19"/>
        <v>0.20033680997479167</v>
      </c>
      <c r="V51" s="1">
        <f t="shared" si="19"/>
        <v>0.20033680997479167</v>
      </c>
      <c r="W51" s="1">
        <f t="shared" si="19"/>
        <v>0.20033680997479167</v>
      </c>
      <c r="X51" s="1">
        <f t="shared" si="19"/>
        <v>0.20033680997479167</v>
      </c>
      <c r="Y51" s="1">
        <f t="shared" si="19"/>
        <v>0.20033680997479167</v>
      </c>
      <c r="Z51" s="1">
        <f t="shared" si="19"/>
        <v>0.20033680997479167</v>
      </c>
    </row>
    <row r="52" spans="1:27" x14ac:dyDescent="0.2">
      <c r="A52" s="17" t="s">
        <v>208</v>
      </c>
      <c r="B52" s="1">
        <f t="shared" ref="B52:Z52" si="20">SIN(B49)</f>
        <v>2.6176948307873149E-2</v>
      </c>
      <c r="C52" s="1">
        <f t="shared" si="20"/>
        <v>2.6176948307873149E-2</v>
      </c>
      <c r="D52" s="1">
        <f t="shared" si="20"/>
        <v>2.6176948307873149E-2</v>
      </c>
      <c r="E52" s="1">
        <f t="shared" si="20"/>
        <v>2.6176948307873149E-2</v>
      </c>
      <c r="F52" s="1">
        <f t="shared" si="20"/>
        <v>2.6176948307873149E-2</v>
      </c>
      <c r="G52" s="1">
        <f t="shared" si="20"/>
        <v>2.6176948307873149E-2</v>
      </c>
      <c r="H52" s="1">
        <f t="shared" si="20"/>
        <v>2.6176948307873149E-2</v>
      </c>
      <c r="I52" s="1">
        <f t="shared" si="20"/>
        <v>2.6176948307873149E-2</v>
      </c>
      <c r="J52" s="1">
        <f t="shared" si="20"/>
        <v>2.6176948307873149E-2</v>
      </c>
      <c r="K52" s="1">
        <f t="shared" si="20"/>
        <v>2.6176948307873149E-2</v>
      </c>
      <c r="L52" s="1">
        <f t="shared" si="20"/>
        <v>2.6176948307873149E-2</v>
      </c>
      <c r="M52" s="1">
        <f t="shared" si="20"/>
        <v>2.6176948307873149E-2</v>
      </c>
      <c r="N52" s="1">
        <f t="shared" si="20"/>
        <v>2.6176948307873149E-2</v>
      </c>
      <c r="O52" s="1">
        <f t="shared" si="20"/>
        <v>2.6176948307873149E-2</v>
      </c>
      <c r="P52" s="1">
        <f t="shared" si="20"/>
        <v>2.6176948307873149E-2</v>
      </c>
      <c r="Q52" s="1">
        <f t="shared" si="20"/>
        <v>2.6176948307873149E-2</v>
      </c>
      <c r="R52" s="1">
        <f t="shared" si="20"/>
        <v>2.6176948307873149E-2</v>
      </c>
      <c r="S52" s="1">
        <f t="shared" si="20"/>
        <v>2.6176948307873149E-2</v>
      </c>
      <c r="T52" s="1">
        <f t="shared" si="20"/>
        <v>2.6176948307873149E-2</v>
      </c>
      <c r="U52" s="1">
        <f t="shared" si="20"/>
        <v>2.6176948307873149E-2</v>
      </c>
      <c r="V52" s="1">
        <f t="shared" si="20"/>
        <v>2.6176948307873149E-2</v>
      </c>
      <c r="W52" s="1">
        <f t="shared" si="20"/>
        <v>2.6176948307873149E-2</v>
      </c>
      <c r="X52" s="1">
        <f t="shared" si="20"/>
        <v>2.6176948307873149E-2</v>
      </c>
      <c r="Y52" s="1">
        <f t="shared" si="20"/>
        <v>2.6176948307873149E-2</v>
      </c>
      <c r="Z52" s="1">
        <f t="shared" si="20"/>
        <v>2.6176948307873149E-2</v>
      </c>
    </row>
    <row r="53" spans="1:27" x14ac:dyDescent="0.2">
      <c r="A53" s="17" t="s">
        <v>172</v>
      </c>
      <c r="B53" s="1">
        <v>0</v>
      </c>
      <c r="C53" s="1">
        <f t="shared" ref="C53:Z53" si="21">B53</f>
        <v>0</v>
      </c>
      <c r="D53" s="1">
        <f t="shared" si="21"/>
        <v>0</v>
      </c>
      <c r="E53" s="1">
        <f t="shared" si="21"/>
        <v>0</v>
      </c>
      <c r="F53" s="1">
        <f t="shared" si="21"/>
        <v>0</v>
      </c>
      <c r="G53" s="1">
        <f t="shared" si="21"/>
        <v>0</v>
      </c>
      <c r="H53" s="1">
        <f t="shared" si="21"/>
        <v>0</v>
      </c>
      <c r="I53" s="1">
        <f t="shared" si="21"/>
        <v>0</v>
      </c>
      <c r="J53" s="1">
        <f t="shared" si="21"/>
        <v>0</v>
      </c>
      <c r="K53" s="1">
        <f t="shared" si="21"/>
        <v>0</v>
      </c>
      <c r="L53" s="1">
        <f t="shared" si="21"/>
        <v>0</v>
      </c>
      <c r="M53" s="1">
        <f t="shared" si="21"/>
        <v>0</v>
      </c>
      <c r="N53" s="1">
        <f t="shared" si="21"/>
        <v>0</v>
      </c>
      <c r="O53" s="1">
        <f t="shared" si="21"/>
        <v>0</v>
      </c>
      <c r="P53" s="1">
        <f t="shared" si="21"/>
        <v>0</v>
      </c>
      <c r="Q53" s="1">
        <f t="shared" si="21"/>
        <v>0</v>
      </c>
      <c r="R53" s="1">
        <f t="shared" si="21"/>
        <v>0</v>
      </c>
      <c r="S53" s="1">
        <f t="shared" si="21"/>
        <v>0</v>
      </c>
      <c r="T53" s="1">
        <f t="shared" si="21"/>
        <v>0</v>
      </c>
      <c r="U53" s="1">
        <f t="shared" si="21"/>
        <v>0</v>
      </c>
      <c r="V53" s="1">
        <f t="shared" si="21"/>
        <v>0</v>
      </c>
      <c r="W53" s="1">
        <f t="shared" si="21"/>
        <v>0</v>
      </c>
      <c r="X53" s="1">
        <f t="shared" si="21"/>
        <v>0</v>
      </c>
      <c r="Y53" s="1">
        <f t="shared" si="21"/>
        <v>0</v>
      </c>
      <c r="Z53" s="1">
        <f t="shared" si="21"/>
        <v>0</v>
      </c>
    </row>
    <row r="54" spans="1:27" x14ac:dyDescent="0.2">
      <c r="A54" s="17" t="s">
        <v>175</v>
      </c>
      <c r="B54" s="1">
        <f>'Tyre Char.'!$D$14*'Tyre Char.'!$D$15</f>
        <v>1.25</v>
      </c>
      <c r="C54" s="1">
        <f t="shared" ref="C54:Z54" si="22">B54</f>
        <v>1.25</v>
      </c>
      <c r="D54" s="1">
        <f t="shared" si="22"/>
        <v>1.25</v>
      </c>
      <c r="E54" s="1">
        <f t="shared" si="22"/>
        <v>1.25</v>
      </c>
      <c r="F54" s="1">
        <f t="shared" si="22"/>
        <v>1.25</v>
      </c>
      <c r="G54" s="1">
        <f t="shared" si="22"/>
        <v>1.25</v>
      </c>
      <c r="H54" s="1">
        <f t="shared" si="22"/>
        <v>1.25</v>
      </c>
      <c r="I54" s="1">
        <f t="shared" si="22"/>
        <v>1.25</v>
      </c>
      <c r="J54" s="1">
        <f t="shared" si="22"/>
        <v>1.25</v>
      </c>
      <c r="K54" s="1">
        <f t="shared" si="22"/>
        <v>1.25</v>
      </c>
      <c r="L54" s="1">
        <f t="shared" si="22"/>
        <v>1.25</v>
      </c>
      <c r="M54" s="1">
        <f t="shared" si="22"/>
        <v>1.25</v>
      </c>
      <c r="N54" s="1">
        <f t="shared" si="22"/>
        <v>1.25</v>
      </c>
      <c r="O54" s="1">
        <f t="shared" si="22"/>
        <v>1.25</v>
      </c>
      <c r="P54" s="1">
        <f t="shared" si="22"/>
        <v>1.25</v>
      </c>
      <c r="Q54" s="1">
        <f t="shared" si="22"/>
        <v>1.25</v>
      </c>
      <c r="R54" s="1">
        <f t="shared" si="22"/>
        <v>1.25</v>
      </c>
      <c r="S54" s="1">
        <f t="shared" si="22"/>
        <v>1.25</v>
      </c>
      <c r="T54" s="1">
        <f t="shared" si="22"/>
        <v>1.25</v>
      </c>
      <c r="U54" s="1">
        <f t="shared" si="22"/>
        <v>1.25</v>
      </c>
      <c r="V54" s="1">
        <f t="shared" si="22"/>
        <v>1.25</v>
      </c>
      <c r="W54" s="1">
        <f t="shared" si="22"/>
        <v>1.25</v>
      </c>
      <c r="X54" s="1">
        <f t="shared" si="22"/>
        <v>1.25</v>
      </c>
      <c r="Y54" s="1">
        <f t="shared" si="22"/>
        <v>1.25</v>
      </c>
      <c r="Z54" s="1">
        <f t="shared" si="22"/>
        <v>1.25</v>
      </c>
    </row>
    <row r="55" spans="1:27" x14ac:dyDescent="0.2">
      <c r="A55" s="17" t="s">
        <v>19</v>
      </c>
      <c r="B55" s="6">
        <f>('Tyre Char.'!$D$16+'Tyre Char.'!$D$17*B53)*'Tyre Char.'!$D$18</f>
        <v>1.23</v>
      </c>
      <c r="C55" s="6">
        <f>('Tyre Char.'!$D$16+'Tyre Char.'!$D$17*C53)*'Tyre Char.'!$D$18</f>
        <v>1.23</v>
      </c>
      <c r="D55" s="6">
        <f>('Tyre Char.'!$D$16+'Tyre Char.'!$D$17*D53)*'Tyre Char.'!$D$18</f>
        <v>1.23</v>
      </c>
      <c r="E55" s="6">
        <f>('Tyre Char.'!$D$16+'Tyre Char.'!$D$17*E53)*'Tyre Char.'!$D$18</f>
        <v>1.23</v>
      </c>
      <c r="F55" s="6">
        <f>('Tyre Char.'!$D$16+'Tyre Char.'!$D$17*F53)*'Tyre Char.'!$D$18</f>
        <v>1.23</v>
      </c>
      <c r="G55" s="6">
        <f>('Tyre Char.'!$D$16+'Tyre Char.'!$D$17*G53)*'Tyre Char.'!$D$18</f>
        <v>1.23</v>
      </c>
      <c r="H55" s="6">
        <f>('Tyre Char.'!$D$16+'Tyre Char.'!$D$17*H53)*'Tyre Char.'!$D$18</f>
        <v>1.23</v>
      </c>
      <c r="I55" s="6">
        <f>('Tyre Char.'!$D$16+'Tyre Char.'!$D$17*I53)*'Tyre Char.'!$D$18</f>
        <v>1.23</v>
      </c>
      <c r="J55" s="6">
        <f>('Tyre Char.'!$D$16+'Tyre Char.'!$D$17*J53)*'Tyre Char.'!$D$18</f>
        <v>1.23</v>
      </c>
      <c r="K55" s="6">
        <f>('Tyre Char.'!$D$16+'Tyre Char.'!$D$17*K53)*'Tyre Char.'!$D$18</f>
        <v>1.23</v>
      </c>
      <c r="L55" s="6">
        <f>('Tyre Char.'!$D$16+'Tyre Char.'!$D$17*L53)*'Tyre Char.'!$D$18</f>
        <v>1.23</v>
      </c>
      <c r="M55" s="6">
        <f>('Tyre Char.'!$D$16+'Tyre Char.'!$D$17*M53)*'Tyre Char.'!$D$18</f>
        <v>1.23</v>
      </c>
      <c r="N55" s="6">
        <f>('Tyre Char.'!$D$16+'Tyre Char.'!$D$17*N53)*'Tyre Char.'!$D$18</f>
        <v>1.23</v>
      </c>
      <c r="O55" s="6">
        <f>('Tyre Char.'!$D$16+'Tyre Char.'!$D$17*O53)*'Tyre Char.'!$D$18</f>
        <v>1.23</v>
      </c>
      <c r="P55" s="6">
        <f>('Tyre Char.'!$D$16+'Tyre Char.'!$D$17*P53)*'Tyre Char.'!$D$18</f>
        <v>1.23</v>
      </c>
      <c r="Q55" s="6">
        <f>('Tyre Char.'!$D$16+'Tyre Char.'!$D$17*Q53)*'Tyre Char.'!$D$18</f>
        <v>1.23</v>
      </c>
      <c r="R55" s="6">
        <f>('Tyre Char.'!$D$16+'Tyre Char.'!$D$17*R53)*'Tyre Char.'!$D$18</f>
        <v>1.23</v>
      </c>
      <c r="S55" s="6">
        <f>('Tyre Char.'!$D$16+'Tyre Char.'!$D$17*S53)*'Tyre Char.'!$D$18</f>
        <v>1.23</v>
      </c>
      <c r="T55" s="6">
        <f>('Tyre Char.'!$D$16+'Tyre Char.'!$D$17*T53)*'Tyre Char.'!$D$18</f>
        <v>1.23</v>
      </c>
      <c r="U55" s="6">
        <f>('Tyre Char.'!$D$16+'Tyre Char.'!$D$17*U53)*'Tyre Char.'!$D$18</f>
        <v>1.23</v>
      </c>
      <c r="V55" s="6">
        <f>('Tyre Char.'!$D$16+'Tyre Char.'!$D$17*V53)*'Tyre Char.'!$D$18</f>
        <v>1.23</v>
      </c>
      <c r="W55" s="6">
        <f>('Tyre Char.'!$D$16+'Tyre Char.'!$D$17*W53)*'Tyre Char.'!$D$18</f>
        <v>1.23</v>
      </c>
      <c r="X55" s="6">
        <f>('Tyre Char.'!$D$16+'Tyre Char.'!$D$17*X53)*'Tyre Char.'!$D$18</f>
        <v>1.23</v>
      </c>
      <c r="Y55" s="6">
        <f>('Tyre Char.'!$D$16+'Tyre Char.'!$D$17*Y53)*'Tyre Char.'!$D$18</f>
        <v>1.23</v>
      </c>
      <c r="Z55" s="6">
        <f>('Tyre Char.'!$D$16+'Tyre Char.'!$D$17*Z53)*'Tyre Char.'!$D$18</f>
        <v>1.23</v>
      </c>
      <c r="AA55" s="6"/>
    </row>
    <row r="56" spans="1:27" x14ac:dyDescent="0.2">
      <c r="A56" s="17" t="s">
        <v>176</v>
      </c>
      <c r="B56" s="1">
        <f t="shared" ref="B56:Z56" si="23">B55*B50</f>
        <v>1013.5692000000001</v>
      </c>
      <c r="C56" s="1">
        <f t="shared" si="23"/>
        <v>473.47622889988315</v>
      </c>
      <c r="D56" s="1">
        <f t="shared" si="23"/>
        <v>370.99735053316789</v>
      </c>
      <c r="E56" s="1">
        <f t="shared" si="23"/>
        <v>375.39935783215367</v>
      </c>
      <c r="F56" s="1">
        <f t="shared" si="23"/>
        <v>374.84285560130496</v>
      </c>
      <c r="G56" s="1">
        <f t="shared" si="23"/>
        <v>374.91341449648411</v>
      </c>
      <c r="H56" s="1">
        <f t="shared" si="23"/>
        <v>374.90447164457873</v>
      </c>
      <c r="I56" s="1">
        <f t="shared" si="23"/>
        <v>374.9056051423338</v>
      </c>
      <c r="J56" s="1">
        <f t="shared" si="23"/>
        <v>374.90546147345282</v>
      </c>
      <c r="K56" s="1">
        <f t="shared" si="23"/>
        <v>374.90547968324876</v>
      </c>
      <c r="L56" s="1">
        <f t="shared" si="23"/>
        <v>374.9054773751871</v>
      </c>
      <c r="M56" s="1">
        <f t="shared" si="23"/>
        <v>374.90547766773022</v>
      </c>
      <c r="N56" s="1">
        <f t="shared" si="23"/>
        <v>374.90547763065075</v>
      </c>
      <c r="O56" s="1">
        <f t="shared" si="23"/>
        <v>374.90547763535062</v>
      </c>
      <c r="P56" s="1">
        <f t="shared" si="23"/>
        <v>374.90547763475479</v>
      </c>
      <c r="Q56" s="1">
        <f t="shared" si="23"/>
        <v>374.90547763483028</v>
      </c>
      <c r="R56" s="1">
        <f t="shared" si="23"/>
        <v>374.9054776348209</v>
      </c>
      <c r="S56" s="1">
        <f t="shared" si="23"/>
        <v>374.9054776348222</v>
      </c>
      <c r="T56" s="1">
        <f t="shared" si="23"/>
        <v>374.90547763482175</v>
      </c>
      <c r="U56" s="1">
        <f t="shared" si="23"/>
        <v>374.90547763482203</v>
      </c>
      <c r="V56" s="1">
        <f t="shared" si="23"/>
        <v>374.90547763482175</v>
      </c>
      <c r="W56" s="1">
        <f t="shared" si="23"/>
        <v>374.90547763482203</v>
      </c>
      <c r="X56" s="1">
        <f t="shared" si="23"/>
        <v>374.90547763482175</v>
      </c>
      <c r="Y56" s="1">
        <f t="shared" si="23"/>
        <v>374.90547763482203</v>
      </c>
      <c r="Z56" s="1">
        <f t="shared" si="23"/>
        <v>374.90547763482175</v>
      </c>
    </row>
    <row r="57" spans="1:27" x14ac:dyDescent="0.2">
      <c r="A57" s="17" t="s">
        <v>177</v>
      </c>
      <c r="B57" s="1">
        <f>B50*('Tyre Char.'!$D$24+'Tyre Char.'!$D$25*B53)*EXP('Tyre Char.'!$D$26*B53)*'Tyre Char.'!$D$27</f>
        <v>13184.640000000001</v>
      </c>
      <c r="C57" s="1">
        <f>C50*('Tyre Char.'!$D$24+'Tyre Char.'!$D$25*C53)*EXP('Tyre Char.'!$D$26*C53)*'Tyre Char.'!$D$27</f>
        <v>6159.0403759334395</v>
      </c>
      <c r="D57" s="1">
        <f>D50*('Tyre Char.'!$D$24+'Tyre Char.'!$D$25*D53)*EXP('Tyre Char.'!$D$26*D53)*'Tyre Char.'!$D$27</f>
        <v>4825.9817955534036</v>
      </c>
      <c r="E57" s="1">
        <f>E50*('Tyre Char.'!$D$24+'Tyre Char.'!$D$25*E53)*EXP('Tyre Char.'!$D$26*E53)*'Tyre Char.'!$D$27</f>
        <v>4883.2436791174459</v>
      </c>
      <c r="F57" s="1">
        <f>F50*('Tyre Char.'!$D$24+'Tyre Char.'!$D$25*F53)*EXP('Tyre Char.'!$D$26*F53)*'Tyre Char.'!$D$27</f>
        <v>4876.0046257080321</v>
      </c>
      <c r="G57" s="1">
        <f>G50*('Tyre Char.'!$D$24+'Tyre Char.'!$D$25*G53)*EXP('Tyre Char.'!$D$26*G53)*'Tyre Char.'!$D$27</f>
        <v>4876.9224649949156</v>
      </c>
      <c r="H57" s="1">
        <f>H50*('Tyre Char.'!$D$24+'Tyre Char.'!$D$25*H53)*EXP('Tyre Char.'!$D$26*H53)*'Tyre Char.'!$D$27</f>
        <v>4876.8061352140321</v>
      </c>
      <c r="I57" s="1">
        <f>I50*('Tyre Char.'!$D$24+'Tyre Char.'!$D$25*I53)*EXP('Tyre Char.'!$D$26*I53)*'Tyre Char.'!$D$27</f>
        <v>4876.8208799002769</v>
      </c>
      <c r="J57" s="1">
        <f>J50*('Tyre Char.'!$D$24+'Tyre Char.'!$D$25*J53)*EXP('Tyre Char.'!$D$26*J53)*'Tyre Char.'!$D$27</f>
        <v>4876.819011036785</v>
      </c>
      <c r="K57" s="1">
        <f>K50*('Tyre Char.'!$D$24+'Tyre Char.'!$D$25*K53)*EXP('Tyre Char.'!$D$26*K53)*'Tyre Char.'!$D$27</f>
        <v>4876.819247912179</v>
      </c>
      <c r="L57" s="1">
        <f>L50*('Tyre Char.'!$D$24+'Tyre Char.'!$D$25*L53)*EXP('Tyre Char.'!$D$26*L53)*'Tyre Char.'!$D$27</f>
        <v>4876.8192178886129</v>
      </c>
      <c r="M57" s="1">
        <f>M50*('Tyre Char.'!$D$24+'Tyre Char.'!$D$25*M53)*EXP('Tyre Char.'!$D$26*M53)*'Tyre Char.'!$D$27</f>
        <v>4876.8192216940515</v>
      </c>
      <c r="N57" s="1">
        <f>N50*('Tyre Char.'!$D$24+'Tyre Char.'!$D$25*N53)*EXP('Tyre Char.'!$D$26*N53)*'Tyre Char.'!$D$27</f>
        <v>4876.8192212117174</v>
      </c>
      <c r="O57" s="1">
        <f>O50*('Tyre Char.'!$D$24+'Tyre Char.'!$D$25*O53)*EXP('Tyre Char.'!$D$26*O53)*'Tyre Char.'!$D$27</f>
        <v>4876.8192212728536</v>
      </c>
      <c r="P57" s="1">
        <f>P50*('Tyre Char.'!$D$24+'Tyre Char.'!$D$25*P53)*EXP('Tyre Char.'!$D$26*P53)*'Tyre Char.'!$D$27</f>
        <v>4876.8192212651029</v>
      </c>
      <c r="Q57" s="1">
        <f>Q50*('Tyre Char.'!$D$24+'Tyre Char.'!$D$25*Q53)*EXP('Tyre Char.'!$D$26*Q53)*'Tyre Char.'!$D$27</f>
        <v>4876.8192212660852</v>
      </c>
      <c r="R57" s="1">
        <f>R50*('Tyre Char.'!$D$24+'Tyre Char.'!$D$25*R53)*EXP('Tyre Char.'!$D$26*R53)*'Tyre Char.'!$D$27</f>
        <v>4876.8192212659633</v>
      </c>
      <c r="S57" s="1">
        <f>S50*('Tyre Char.'!$D$24+'Tyre Char.'!$D$25*S53)*EXP('Tyre Char.'!$D$26*S53)*'Tyre Char.'!$D$27</f>
        <v>4876.8192212659796</v>
      </c>
      <c r="T57" s="1">
        <f>T50*('Tyre Char.'!$D$24+'Tyre Char.'!$D$25*T53)*EXP('Tyre Char.'!$D$26*T53)*'Tyre Char.'!$D$27</f>
        <v>4876.8192212659742</v>
      </c>
      <c r="U57" s="1">
        <f>U50*('Tyre Char.'!$D$24+'Tyre Char.'!$D$25*U53)*EXP('Tyre Char.'!$D$26*U53)*'Tyre Char.'!$D$27</f>
        <v>4876.8192212659778</v>
      </c>
      <c r="V57" s="1">
        <f>V50*('Tyre Char.'!$D$24+'Tyre Char.'!$D$25*V53)*EXP('Tyre Char.'!$D$26*V53)*'Tyre Char.'!$D$27</f>
        <v>4876.8192212659742</v>
      </c>
      <c r="W57" s="1">
        <f>W50*('Tyre Char.'!$D$24+'Tyre Char.'!$D$25*W53)*EXP('Tyre Char.'!$D$26*W53)*'Tyre Char.'!$D$27</f>
        <v>4876.8192212659778</v>
      </c>
      <c r="X57" s="1">
        <f>X50*('Tyre Char.'!$D$24+'Tyre Char.'!$D$25*X53)*EXP('Tyre Char.'!$D$26*X53)*'Tyre Char.'!$D$27</f>
        <v>4876.8192212659742</v>
      </c>
      <c r="Y57" s="1">
        <f>Y50*('Tyre Char.'!$D$24+'Tyre Char.'!$D$25*Y53)*EXP('Tyre Char.'!$D$26*Y53)*'Tyre Char.'!$D$27</f>
        <v>4876.8192212659778</v>
      </c>
      <c r="Z57" s="1">
        <f>Z50*('Tyre Char.'!$D$24+'Tyre Char.'!$D$25*Z53)*EXP('Tyre Char.'!$D$26*Z53)*'Tyre Char.'!$D$27</f>
        <v>4876.8192212659742</v>
      </c>
    </row>
    <row r="58" spans="1:27" x14ac:dyDescent="0.2">
      <c r="A58" s="17" t="s">
        <v>178</v>
      </c>
      <c r="B58" s="1">
        <f t="shared" ref="B58:Z58" si="24">B57/(B54*B56)</f>
        <v>10.40650406504065</v>
      </c>
      <c r="C58" s="1">
        <f t="shared" si="24"/>
        <v>10.40650406504065</v>
      </c>
      <c r="D58" s="1">
        <f t="shared" si="24"/>
        <v>10.40650406504065</v>
      </c>
      <c r="E58" s="1">
        <f t="shared" si="24"/>
        <v>10.40650406504065</v>
      </c>
      <c r="F58" s="1">
        <f t="shared" si="24"/>
        <v>10.40650406504065</v>
      </c>
      <c r="G58" s="1">
        <f t="shared" si="24"/>
        <v>10.40650406504065</v>
      </c>
      <c r="H58" s="1">
        <f t="shared" si="24"/>
        <v>10.40650406504065</v>
      </c>
      <c r="I58" s="1">
        <f t="shared" si="24"/>
        <v>10.40650406504065</v>
      </c>
      <c r="J58" s="1">
        <f t="shared" si="24"/>
        <v>10.406504065040652</v>
      </c>
      <c r="K58" s="1">
        <f t="shared" si="24"/>
        <v>10.40650406504065</v>
      </c>
      <c r="L58" s="1">
        <f t="shared" si="24"/>
        <v>10.406504065040652</v>
      </c>
      <c r="M58" s="1">
        <f t="shared" si="24"/>
        <v>10.40650406504065</v>
      </c>
      <c r="N58" s="1">
        <f t="shared" si="24"/>
        <v>10.406504065040652</v>
      </c>
      <c r="O58" s="1">
        <f t="shared" si="24"/>
        <v>10.40650406504065</v>
      </c>
      <c r="P58" s="1">
        <f t="shared" si="24"/>
        <v>10.40650406504065</v>
      </c>
      <c r="Q58" s="1">
        <f t="shared" si="24"/>
        <v>10.40650406504065</v>
      </c>
      <c r="R58" s="1">
        <f t="shared" si="24"/>
        <v>10.40650406504065</v>
      </c>
      <c r="S58" s="1">
        <f t="shared" si="24"/>
        <v>10.40650406504065</v>
      </c>
      <c r="T58" s="1">
        <f t="shared" si="24"/>
        <v>10.406504065040652</v>
      </c>
      <c r="U58" s="1">
        <f t="shared" si="24"/>
        <v>10.40650406504065</v>
      </c>
      <c r="V58" s="1">
        <f t="shared" si="24"/>
        <v>10.406504065040652</v>
      </c>
      <c r="W58" s="1">
        <f t="shared" si="24"/>
        <v>10.40650406504065</v>
      </c>
      <c r="X58" s="1">
        <f t="shared" si="24"/>
        <v>10.406504065040652</v>
      </c>
      <c r="Y58" s="1">
        <f t="shared" si="24"/>
        <v>10.40650406504065</v>
      </c>
      <c r="Z58" s="1">
        <f t="shared" si="24"/>
        <v>10.406504065040652</v>
      </c>
    </row>
    <row r="59" spans="1:27" x14ac:dyDescent="0.2">
      <c r="A59" s="17" t="s">
        <v>209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</row>
    <row r="60" spans="1:27" x14ac:dyDescent="0.2">
      <c r="A60" s="17" t="s">
        <v>173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</row>
    <row r="61" spans="1:27" x14ac:dyDescent="0.2">
      <c r="A61" s="17" t="s">
        <v>179</v>
      </c>
      <c r="B61" s="1">
        <f t="shared" ref="B61:Z61" si="25">B51+B59</f>
        <v>0.20033680997479167</v>
      </c>
      <c r="C61" s="1">
        <f t="shared" si="25"/>
        <v>0.20033680997479167</v>
      </c>
      <c r="D61" s="1">
        <f t="shared" si="25"/>
        <v>0.20033680997479167</v>
      </c>
      <c r="E61" s="1">
        <f t="shared" si="25"/>
        <v>0.20033680997479167</v>
      </c>
      <c r="F61" s="1">
        <f t="shared" si="25"/>
        <v>0.20033680997479167</v>
      </c>
      <c r="G61" s="1">
        <f t="shared" si="25"/>
        <v>0.20033680997479167</v>
      </c>
      <c r="H61" s="1">
        <f t="shared" si="25"/>
        <v>0.20033680997479167</v>
      </c>
      <c r="I61" s="1">
        <f t="shared" si="25"/>
        <v>0.20033680997479167</v>
      </c>
      <c r="J61" s="1">
        <f t="shared" si="25"/>
        <v>0.20033680997479167</v>
      </c>
      <c r="K61" s="1">
        <f t="shared" si="25"/>
        <v>0.20033680997479167</v>
      </c>
      <c r="L61" s="1">
        <f t="shared" si="25"/>
        <v>0.20033680997479167</v>
      </c>
      <c r="M61" s="1">
        <f t="shared" si="25"/>
        <v>0.20033680997479167</v>
      </c>
      <c r="N61" s="1">
        <f t="shared" si="25"/>
        <v>0.20033680997479167</v>
      </c>
      <c r="O61" s="1">
        <f t="shared" si="25"/>
        <v>0.20033680997479167</v>
      </c>
      <c r="P61" s="1">
        <f t="shared" si="25"/>
        <v>0.20033680997479167</v>
      </c>
      <c r="Q61" s="1">
        <f t="shared" si="25"/>
        <v>0.20033680997479167</v>
      </c>
      <c r="R61" s="1">
        <f t="shared" si="25"/>
        <v>0.20033680997479167</v>
      </c>
      <c r="S61" s="1">
        <f t="shared" si="25"/>
        <v>0.20033680997479167</v>
      </c>
      <c r="T61" s="1">
        <f t="shared" si="25"/>
        <v>0.20033680997479167</v>
      </c>
      <c r="U61" s="1">
        <f t="shared" si="25"/>
        <v>0.20033680997479167</v>
      </c>
      <c r="V61" s="1">
        <f t="shared" si="25"/>
        <v>0.20033680997479167</v>
      </c>
      <c r="W61" s="1">
        <f t="shared" si="25"/>
        <v>0.20033680997479167</v>
      </c>
      <c r="X61" s="1">
        <f t="shared" si="25"/>
        <v>0.20033680997479167</v>
      </c>
      <c r="Y61" s="1">
        <f t="shared" si="25"/>
        <v>0.20033680997479167</v>
      </c>
      <c r="Z61" s="1">
        <f t="shared" si="25"/>
        <v>0.20033680997479167</v>
      </c>
    </row>
    <row r="62" spans="1:27" x14ac:dyDescent="0.2">
      <c r="A62" s="17" t="s">
        <v>180</v>
      </c>
      <c r="B62" s="1">
        <f>('Tyre Char.'!$D$19+'Tyre Char.'!$D$20*B53+'Tyre Char.'!$D$21*B53^2)*(1-'Tyre Char.'!$D$22*SIGN(B61))*'Tyre Char.'!$D$23</f>
        <v>-0.8</v>
      </c>
      <c r="C62" s="1">
        <f>('Tyre Char.'!$D$19+'Tyre Char.'!$D$20*C53+'Tyre Char.'!$D$21*C53^2)*(1-'Tyre Char.'!$D$22*SIGN(C61))*'Tyre Char.'!$D$23</f>
        <v>-0.8</v>
      </c>
      <c r="D62" s="1">
        <f>('Tyre Char.'!$D$19+'Tyre Char.'!$D$20*D53+'Tyre Char.'!$D$21*D53^2)*(1-'Tyre Char.'!$D$22*SIGN(D61))*'Tyre Char.'!$D$23</f>
        <v>-0.8</v>
      </c>
      <c r="E62" s="1">
        <f>('Tyre Char.'!$D$19+'Tyre Char.'!$D$20*E53+'Tyre Char.'!$D$21*E53^2)*(1-'Tyre Char.'!$D$22*SIGN(E61))*'Tyre Char.'!$D$23</f>
        <v>-0.8</v>
      </c>
      <c r="F62" s="1">
        <f>('Tyre Char.'!$D$19+'Tyre Char.'!$D$20*F53+'Tyre Char.'!$D$21*F53^2)*(1-'Tyre Char.'!$D$22*SIGN(F61))*'Tyre Char.'!$D$23</f>
        <v>-0.8</v>
      </c>
      <c r="G62" s="1">
        <f>('Tyre Char.'!$D$19+'Tyre Char.'!$D$20*G53+'Tyre Char.'!$D$21*G53^2)*(1-'Tyre Char.'!$D$22*SIGN(G61))*'Tyre Char.'!$D$23</f>
        <v>-0.8</v>
      </c>
      <c r="H62" s="1">
        <f>('Tyre Char.'!$D$19+'Tyre Char.'!$D$20*H53+'Tyre Char.'!$D$21*H53^2)*(1-'Tyre Char.'!$D$22*SIGN(H61))*'Tyre Char.'!$D$23</f>
        <v>-0.8</v>
      </c>
      <c r="I62" s="1">
        <f>('Tyre Char.'!$D$19+'Tyre Char.'!$D$20*I53+'Tyre Char.'!$D$21*I53^2)*(1-'Tyre Char.'!$D$22*SIGN(I61))*'Tyre Char.'!$D$23</f>
        <v>-0.8</v>
      </c>
      <c r="J62" s="1">
        <f>('Tyre Char.'!$D$19+'Tyre Char.'!$D$20*J53+'Tyre Char.'!$D$21*J53^2)*(1-'Tyre Char.'!$D$22*SIGN(J61))*'Tyre Char.'!$D$23</f>
        <v>-0.8</v>
      </c>
      <c r="K62" s="1">
        <f>('Tyre Char.'!$D$19+'Tyre Char.'!$D$20*K53+'Tyre Char.'!$D$21*K53^2)*(1-'Tyre Char.'!$D$22*SIGN(K61))*'Tyre Char.'!$D$23</f>
        <v>-0.8</v>
      </c>
      <c r="L62" s="1">
        <f>('Tyre Char.'!$D$19+'Tyre Char.'!$D$20*L53+'Tyre Char.'!$D$21*L53^2)*(1-'Tyre Char.'!$D$22*SIGN(L61))*'Tyre Char.'!$D$23</f>
        <v>-0.8</v>
      </c>
      <c r="M62" s="1">
        <f>('Tyre Char.'!$D$19+'Tyre Char.'!$D$20*M53+'Tyre Char.'!$D$21*M53^2)*(1-'Tyre Char.'!$D$22*SIGN(M61))*'Tyre Char.'!$D$23</f>
        <v>-0.8</v>
      </c>
      <c r="N62" s="1">
        <f>('Tyre Char.'!$D$19+'Tyre Char.'!$D$20*N53+'Tyre Char.'!$D$21*N53^2)*(1-'Tyre Char.'!$D$22*SIGN(N61))*'Tyre Char.'!$D$23</f>
        <v>-0.8</v>
      </c>
      <c r="O62" s="1">
        <f>('Tyre Char.'!$D$19+'Tyre Char.'!$D$20*O53+'Tyre Char.'!$D$21*O53^2)*(1-'Tyre Char.'!$D$22*SIGN(O61))*'Tyre Char.'!$D$23</f>
        <v>-0.8</v>
      </c>
      <c r="P62" s="1">
        <f>('Tyre Char.'!$D$19+'Tyre Char.'!$D$20*P53+'Tyre Char.'!$D$21*P53^2)*(1-'Tyre Char.'!$D$22*SIGN(P61))*'Tyre Char.'!$D$23</f>
        <v>-0.8</v>
      </c>
      <c r="Q62" s="1">
        <f>('Tyre Char.'!$D$19+'Tyre Char.'!$D$20*Q53+'Tyre Char.'!$D$21*Q53^2)*(1-'Tyre Char.'!$D$22*SIGN(Q61))*'Tyre Char.'!$D$23</f>
        <v>-0.8</v>
      </c>
      <c r="R62" s="1">
        <f>('Tyre Char.'!$D$19+'Tyre Char.'!$D$20*R53+'Tyre Char.'!$D$21*R53^2)*(1-'Tyre Char.'!$D$22*SIGN(R61))*'Tyre Char.'!$D$23</f>
        <v>-0.8</v>
      </c>
      <c r="S62" s="1">
        <f>('Tyre Char.'!$D$19+'Tyre Char.'!$D$20*S53+'Tyre Char.'!$D$21*S53^2)*(1-'Tyre Char.'!$D$22*SIGN(S61))*'Tyre Char.'!$D$23</f>
        <v>-0.8</v>
      </c>
      <c r="T62" s="1">
        <f>('Tyre Char.'!$D$19+'Tyre Char.'!$D$20*T53+'Tyre Char.'!$D$21*T53^2)*(1-'Tyre Char.'!$D$22*SIGN(T61))*'Tyre Char.'!$D$23</f>
        <v>-0.8</v>
      </c>
      <c r="U62" s="1">
        <f>('Tyre Char.'!$D$19+'Tyre Char.'!$D$20*U53+'Tyre Char.'!$D$21*U53^2)*(1-'Tyre Char.'!$D$22*SIGN(U61))*'Tyre Char.'!$D$23</f>
        <v>-0.8</v>
      </c>
      <c r="V62" s="1">
        <f>('Tyre Char.'!$D$19+'Tyre Char.'!$D$20*V53+'Tyre Char.'!$D$21*V53^2)*(1-'Tyre Char.'!$D$22*SIGN(V61))*'Tyre Char.'!$D$23</f>
        <v>-0.8</v>
      </c>
      <c r="W62" s="1">
        <f>('Tyre Char.'!$D$19+'Tyre Char.'!$D$20*W53+'Tyre Char.'!$D$21*W53^2)*(1-'Tyre Char.'!$D$22*SIGN(W61))*'Tyre Char.'!$D$23</f>
        <v>-0.8</v>
      </c>
      <c r="X62" s="1">
        <f>('Tyre Char.'!$D$19+'Tyre Char.'!$D$20*X53+'Tyre Char.'!$D$21*X53^2)*(1-'Tyre Char.'!$D$22*SIGN(X61))*'Tyre Char.'!$D$23</f>
        <v>-0.8</v>
      </c>
      <c r="Y62" s="1">
        <f>('Tyre Char.'!$D$19+'Tyre Char.'!$D$20*Y53+'Tyre Char.'!$D$21*Y53^2)*(1-'Tyre Char.'!$D$22*SIGN(Y61))*'Tyre Char.'!$D$23</f>
        <v>-0.8</v>
      </c>
      <c r="Z62" s="1">
        <f>('Tyre Char.'!$D$19+'Tyre Char.'!$D$20*Z53+'Tyre Char.'!$D$21*Z53^2)*(1-'Tyre Char.'!$D$22*SIGN(Z61))*'Tyre Char.'!$D$23</f>
        <v>-0.8</v>
      </c>
    </row>
    <row r="63" spans="1:27" x14ac:dyDescent="0.2">
      <c r="A63" s="18" t="s">
        <v>181</v>
      </c>
      <c r="B63" s="1">
        <f t="shared" ref="B63:Z63" si="26">B56*SIN(B54*ATAN(B58*B61-B62*(B58*B61-ATAN(B58*B61))))</f>
        <v>1013.1547071712074</v>
      </c>
      <c r="C63" s="1">
        <f t="shared" si="26"/>
        <v>473.28260373696105</v>
      </c>
      <c r="D63" s="1">
        <f t="shared" si="26"/>
        <v>370.84563347103034</v>
      </c>
      <c r="E63" s="1">
        <f t="shared" si="26"/>
        <v>375.24584059647322</v>
      </c>
      <c r="F63" s="1">
        <f t="shared" si="26"/>
        <v>374.68956594375521</v>
      </c>
      <c r="G63" s="1">
        <f t="shared" si="26"/>
        <v>374.76009598431244</v>
      </c>
      <c r="H63" s="1">
        <f t="shared" si="26"/>
        <v>374.75115678953085</v>
      </c>
      <c r="I63" s="1">
        <f t="shared" si="26"/>
        <v>374.75228982374904</v>
      </c>
      <c r="J63" s="1">
        <f t="shared" si="26"/>
        <v>374.75214621362056</v>
      </c>
      <c r="K63" s="1">
        <f t="shared" si="26"/>
        <v>374.75216441596967</v>
      </c>
      <c r="L63" s="1">
        <f t="shared" si="26"/>
        <v>374.75216210885191</v>
      </c>
      <c r="M63" s="1">
        <f t="shared" si="26"/>
        <v>374.75216240127537</v>
      </c>
      <c r="N63" s="1">
        <f t="shared" si="26"/>
        <v>374.75216236421107</v>
      </c>
      <c r="O63" s="1">
        <f t="shared" si="26"/>
        <v>374.75216236890901</v>
      </c>
      <c r="P63" s="1">
        <f t="shared" si="26"/>
        <v>374.75216236831346</v>
      </c>
      <c r="Q63" s="1">
        <f t="shared" si="26"/>
        <v>374.75216236838889</v>
      </c>
      <c r="R63" s="1">
        <f t="shared" si="26"/>
        <v>374.75216236837952</v>
      </c>
      <c r="S63" s="1">
        <f t="shared" si="26"/>
        <v>374.75216236838082</v>
      </c>
      <c r="T63" s="1">
        <f t="shared" si="26"/>
        <v>374.75216236838037</v>
      </c>
      <c r="U63" s="1">
        <f t="shared" si="26"/>
        <v>374.75216236838065</v>
      </c>
      <c r="V63" s="1">
        <f t="shared" si="26"/>
        <v>374.75216236838037</v>
      </c>
      <c r="W63" s="1">
        <f t="shared" si="26"/>
        <v>374.75216236838065</v>
      </c>
      <c r="X63" s="1">
        <f t="shared" si="26"/>
        <v>374.75216236838037</v>
      </c>
      <c r="Y63" s="1">
        <f t="shared" si="26"/>
        <v>374.75216236838065</v>
      </c>
      <c r="Z63" s="1">
        <f t="shared" si="26"/>
        <v>374.75216236838037</v>
      </c>
    </row>
    <row r="65" spans="1:27" x14ac:dyDescent="0.2">
      <c r="A65" s="6" t="s">
        <v>231</v>
      </c>
    </row>
    <row r="66" spans="1:27" x14ac:dyDescent="0.2">
      <c r="A66" s="16" t="s">
        <v>203</v>
      </c>
      <c r="B66" s="1">
        <v>6.91</v>
      </c>
      <c r="C66" s="1">
        <v>6.91</v>
      </c>
      <c r="D66" s="1">
        <v>6.91</v>
      </c>
      <c r="E66" s="1">
        <v>6.91</v>
      </c>
      <c r="F66" s="1">
        <v>6.91</v>
      </c>
      <c r="G66" s="1">
        <v>6.91</v>
      </c>
      <c r="H66" s="1">
        <v>6.91</v>
      </c>
      <c r="I66" s="1">
        <v>6.91</v>
      </c>
      <c r="J66" s="1">
        <v>6.91</v>
      </c>
      <c r="K66" s="1">
        <v>6.91</v>
      </c>
      <c r="L66" s="1">
        <v>6.91</v>
      </c>
      <c r="M66" s="1">
        <v>6.91</v>
      </c>
      <c r="N66" s="1">
        <v>6.91</v>
      </c>
      <c r="O66" s="1">
        <v>6.91</v>
      </c>
      <c r="P66" s="1">
        <v>6.91</v>
      </c>
      <c r="Q66" s="1">
        <v>6.91</v>
      </c>
      <c r="R66" s="1">
        <v>6.91</v>
      </c>
      <c r="S66" s="1">
        <v>6.91</v>
      </c>
      <c r="T66" s="1">
        <v>6.91</v>
      </c>
      <c r="U66" s="1">
        <v>6.91</v>
      </c>
      <c r="V66" s="1">
        <v>6.91</v>
      </c>
      <c r="W66" s="1">
        <v>6.91</v>
      </c>
      <c r="X66" s="1">
        <v>6.91</v>
      </c>
      <c r="Y66" s="1">
        <v>6.91</v>
      </c>
      <c r="Z66" s="1">
        <v>6.91</v>
      </c>
    </row>
    <row r="67" spans="1:27" x14ac:dyDescent="0.2">
      <c r="A67" s="17" t="s">
        <v>204</v>
      </c>
      <c r="B67" s="1">
        <f>'Tyre Char.'!$D$3</f>
        <v>1.5</v>
      </c>
      <c r="C67" s="1">
        <f>'Tyre Char.'!$D$3</f>
        <v>1.5</v>
      </c>
      <c r="D67" s="1">
        <f>'Tyre Char.'!$D$3</f>
        <v>1.5</v>
      </c>
      <c r="E67" s="1">
        <f>'Tyre Char.'!$D$3</f>
        <v>1.5</v>
      </c>
      <c r="F67" s="1">
        <f>'Tyre Char.'!$D$3</f>
        <v>1.5</v>
      </c>
      <c r="G67" s="1">
        <f>'Tyre Char.'!$D$3</f>
        <v>1.5</v>
      </c>
      <c r="H67" s="1">
        <f>'Tyre Char.'!$D$3</f>
        <v>1.5</v>
      </c>
      <c r="I67" s="1">
        <f>'Tyre Char.'!$D$3</f>
        <v>1.5</v>
      </c>
      <c r="J67" s="1">
        <f>'Tyre Char.'!$D$3</f>
        <v>1.5</v>
      </c>
      <c r="K67" s="1">
        <f>'Tyre Char.'!$D$3</f>
        <v>1.5</v>
      </c>
      <c r="L67" s="1">
        <f>'Tyre Char.'!$D$3</f>
        <v>1.5</v>
      </c>
      <c r="M67" s="1">
        <f>'Tyre Char.'!$D$3</f>
        <v>1.5</v>
      </c>
      <c r="N67" s="1">
        <f>'Tyre Char.'!$D$3</f>
        <v>1.5</v>
      </c>
      <c r="O67" s="1">
        <f>'Tyre Char.'!$D$3</f>
        <v>1.5</v>
      </c>
      <c r="P67" s="1">
        <f>'Tyre Char.'!$D$3</f>
        <v>1.5</v>
      </c>
      <c r="Q67" s="1">
        <f>'Tyre Char.'!$D$3</f>
        <v>1.5</v>
      </c>
      <c r="R67" s="1">
        <f>'Tyre Char.'!$D$3</f>
        <v>1.5</v>
      </c>
      <c r="S67" s="1">
        <f>'Tyre Char.'!$D$3</f>
        <v>1.5</v>
      </c>
      <c r="T67" s="1">
        <f>'Tyre Char.'!$D$3</f>
        <v>1.5</v>
      </c>
      <c r="U67" s="1">
        <f>'Tyre Char.'!$D$3</f>
        <v>1.5</v>
      </c>
      <c r="V67" s="1">
        <f>'Tyre Char.'!$D$3</f>
        <v>1.5</v>
      </c>
      <c r="W67" s="1">
        <f>'Tyre Char.'!$D$3</f>
        <v>1.5</v>
      </c>
      <c r="X67" s="1">
        <f>'Tyre Char.'!$D$3</f>
        <v>1.5</v>
      </c>
      <c r="Y67" s="1">
        <f>'Tyre Char.'!$D$3</f>
        <v>1.5</v>
      </c>
      <c r="Z67" s="1">
        <f>'Tyre Char.'!$D$3</f>
        <v>1.5</v>
      </c>
    </row>
    <row r="68" spans="1:27" x14ac:dyDescent="0.2">
      <c r="A68" s="17" t="s">
        <v>205</v>
      </c>
      <c r="B68" s="1">
        <f t="shared" ref="B68:Z68" si="27">B67/180*PI()</f>
        <v>2.6179938779914941E-2</v>
      </c>
      <c r="C68" s="1">
        <f t="shared" si="27"/>
        <v>2.6179938779914941E-2</v>
      </c>
      <c r="D68" s="1">
        <f t="shared" si="27"/>
        <v>2.6179938779914941E-2</v>
      </c>
      <c r="E68" s="1">
        <f t="shared" si="27"/>
        <v>2.6179938779914941E-2</v>
      </c>
      <c r="F68" s="1">
        <f t="shared" si="27"/>
        <v>2.6179938779914941E-2</v>
      </c>
      <c r="G68" s="1">
        <f t="shared" si="27"/>
        <v>2.6179938779914941E-2</v>
      </c>
      <c r="H68" s="1">
        <f t="shared" si="27"/>
        <v>2.6179938779914941E-2</v>
      </c>
      <c r="I68" s="1">
        <f t="shared" si="27"/>
        <v>2.6179938779914941E-2</v>
      </c>
      <c r="J68" s="1">
        <f t="shared" si="27"/>
        <v>2.6179938779914941E-2</v>
      </c>
      <c r="K68" s="1">
        <f t="shared" si="27"/>
        <v>2.6179938779914941E-2</v>
      </c>
      <c r="L68" s="1">
        <f t="shared" si="27"/>
        <v>2.6179938779914941E-2</v>
      </c>
      <c r="M68" s="1">
        <f t="shared" si="27"/>
        <v>2.6179938779914941E-2</v>
      </c>
      <c r="N68" s="1">
        <f t="shared" si="27"/>
        <v>2.6179938779914941E-2</v>
      </c>
      <c r="O68" s="1">
        <f t="shared" si="27"/>
        <v>2.6179938779914941E-2</v>
      </c>
      <c r="P68" s="1">
        <f t="shared" si="27"/>
        <v>2.6179938779914941E-2</v>
      </c>
      <c r="Q68" s="1">
        <f t="shared" si="27"/>
        <v>2.6179938779914941E-2</v>
      </c>
      <c r="R68" s="1">
        <f t="shared" si="27"/>
        <v>2.6179938779914941E-2</v>
      </c>
      <c r="S68" s="1">
        <f t="shared" si="27"/>
        <v>2.6179938779914941E-2</v>
      </c>
      <c r="T68" s="1">
        <f t="shared" si="27"/>
        <v>2.6179938779914941E-2</v>
      </c>
      <c r="U68" s="1">
        <f t="shared" si="27"/>
        <v>2.6179938779914941E-2</v>
      </c>
      <c r="V68" s="1">
        <f t="shared" si="27"/>
        <v>2.6179938779914941E-2</v>
      </c>
      <c r="W68" s="1">
        <f t="shared" si="27"/>
        <v>2.6179938779914941E-2</v>
      </c>
      <c r="X68" s="1">
        <f t="shared" si="27"/>
        <v>2.6179938779914941E-2</v>
      </c>
      <c r="Y68" s="1">
        <f t="shared" si="27"/>
        <v>2.6179938779914941E-2</v>
      </c>
      <c r="Z68" s="1">
        <f t="shared" si="27"/>
        <v>2.6179938779914941E-2</v>
      </c>
    </row>
    <row r="69" spans="1:27" x14ac:dyDescent="0.2">
      <c r="A69" s="17" t="s">
        <v>206</v>
      </c>
      <c r="B69" s="9">
        <f>'Rolling or Skidding'!E$24</f>
        <v>824.04000000000008</v>
      </c>
      <c r="C69" s="9">
        <f>'Rolling or Skidding'!F$24</f>
        <v>384.94002349583997</v>
      </c>
      <c r="D69" s="9">
        <f>'Rolling or Skidding'!G$24</f>
        <v>301.62386222208772</v>
      </c>
      <c r="E69" s="9">
        <f>'Rolling or Skidding'!H$24</f>
        <v>305.20272994484037</v>
      </c>
      <c r="F69" s="9">
        <f>'Rolling or Skidding'!I$24</f>
        <v>304.75028910675201</v>
      </c>
      <c r="G69" s="9">
        <f>'Rolling or Skidding'!J$24</f>
        <v>304.80765406218222</v>
      </c>
      <c r="H69" s="9">
        <f>'Rolling or Skidding'!K$24</f>
        <v>304.80038345087701</v>
      </c>
      <c r="I69" s="9">
        <f>'Rolling or Skidding'!L$24</f>
        <v>304.8013049937673</v>
      </c>
      <c r="J69" s="9">
        <f>'Rolling or Skidding'!M$24</f>
        <v>304.80118818979906</v>
      </c>
      <c r="K69" s="9">
        <f>'Rolling or Skidding'!N$24</f>
        <v>304.80120299451119</v>
      </c>
      <c r="L69" s="9">
        <f>'Rolling or Skidding'!O$24</f>
        <v>304.80120111803831</v>
      </c>
      <c r="M69" s="9">
        <f>'Rolling or Skidding'!P$24</f>
        <v>304.80120135587822</v>
      </c>
      <c r="N69" s="9">
        <f>'Rolling or Skidding'!Q$24</f>
        <v>304.80120132573234</v>
      </c>
      <c r="O69" s="9">
        <f>'Rolling or Skidding'!R$24</f>
        <v>304.80120132955335</v>
      </c>
      <c r="P69" s="9">
        <f>'Rolling or Skidding'!S$24</f>
        <v>304.80120132906893</v>
      </c>
      <c r="Q69" s="9">
        <f>'Rolling or Skidding'!T$24</f>
        <v>304.80120132913032</v>
      </c>
      <c r="R69" s="9">
        <f>'Rolling or Skidding'!U$24</f>
        <v>304.8012013291227</v>
      </c>
      <c r="S69" s="9">
        <f>'Rolling or Skidding'!V$24</f>
        <v>304.80120132912373</v>
      </c>
      <c r="T69" s="9">
        <f>'Rolling or Skidding'!W$24</f>
        <v>304.80120132912339</v>
      </c>
      <c r="U69" s="9">
        <f>'Rolling or Skidding'!X$24</f>
        <v>304.80120132912361</v>
      </c>
      <c r="V69" s="9">
        <f>'Rolling or Skidding'!Y$24</f>
        <v>304.80120132912339</v>
      </c>
      <c r="W69" s="9">
        <f>'Rolling or Skidding'!Z$24</f>
        <v>304.80120132912361</v>
      </c>
      <c r="X69" s="9">
        <f>'Rolling or Skidding'!AA$24</f>
        <v>304.80120132912339</v>
      </c>
      <c r="Y69" s="9">
        <f>'Rolling or Skidding'!AB$24</f>
        <v>304.80120132912361</v>
      </c>
      <c r="Z69" s="9">
        <f>'Rolling or Skidding'!AC$24</f>
        <v>304.80120132912339</v>
      </c>
      <c r="AA69" s="9"/>
    </row>
    <row r="70" spans="1:27" x14ac:dyDescent="0.2">
      <c r="A70" s="17" t="s">
        <v>207</v>
      </c>
      <c r="B70" s="1">
        <f t="shared" ref="B70:Z70" si="28">EXP(B66)/1000</f>
        <v>1.0022472422902517</v>
      </c>
      <c r="C70" s="1">
        <f t="shared" si="28"/>
        <v>1.0022472422902517</v>
      </c>
      <c r="D70" s="1">
        <f t="shared" si="28"/>
        <v>1.0022472422902517</v>
      </c>
      <c r="E70" s="1">
        <f t="shared" si="28"/>
        <v>1.0022472422902517</v>
      </c>
      <c r="F70" s="1">
        <f t="shared" si="28"/>
        <v>1.0022472422902517</v>
      </c>
      <c r="G70" s="1">
        <f t="shared" si="28"/>
        <v>1.0022472422902517</v>
      </c>
      <c r="H70" s="1">
        <f t="shared" si="28"/>
        <v>1.0022472422902517</v>
      </c>
      <c r="I70" s="1">
        <f t="shared" si="28"/>
        <v>1.0022472422902517</v>
      </c>
      <c r="J70" s="1">
        <f t="shared" si="28"/>
        <v>1.0022472422902517</v>
      </c>
      <c r="K70" s="1">
        <f t="shared" si="28"/>
        <v>1.0022472422902517</v>
      </c>
      <c r="L70" s="1">
        <f t="shared" si="28"/>
        <v>1.0022472422902517</v>
      </c>
      <c r="M70" s="1">
        <f t="shared" si="28"/>
        <v>1.0022472422902517</v>
      </c>
      <c r="N70" s="1">
        <f t="shared" si="28"/>
        <v>1.0022472422902517</v>
      </c>
      <c r="O70" s="1">
        <f t="shared" si="28"/>
        <v>1.0022472422902517</v>
      </c>
      <c r="P70" s="1">
        <f t="shared" si="28"/>
        <v>1.0022472422902517</v>
      </c>
      <c r="Q70" s="1">
        <f t="shared" si="28"/>
        <v>1.0022472422902517</v>
      </c>
      <c r="R70" s="1">
        <f t="shared" si="28"/>
        <v>1.0022472422902517</v>
      </c>
      <c r="S70" s="1">
        <f t="shared" si="28"/>
        <v>1.0022472422902517</v>
      </c>
      <c r="T70" s="1">
        <f t="shared" si="28"/>
        <v>1.0022472422902517</v>
      </c>
      <c r="U70" s="1">
        <f t="shared" si="28"/>
        <v>1.0022472422902517</v>
      </c>
      <c r="V70" s="1">
        <f t="shared" si="28"/>
        <v>1.0022472422902517</v>
      </c>
      <c r="W70" s="1">
        <f t="shared" si="28"/>
        <v>1.0022472422902517</v>
      </c>
      <c r="X70" s="1">
        <f t="shared" si="28"/>
        <v>1.0022472422902517</v>
      </c>
      <c r="Y70" s="1">
        <f t="shared" si="28"/>
        <v>1.0022472422902517</v>
      </c>
      <c r="Z70" s="1">
        <f t="shared" si="28"/>
        <v>1.0022472422902517</v>
      </c>
    </row>
    <row r="71" spans="1:27" x14ac:dyDescent="0.2">
      <c r="A71" s="17" t="s">
        <v>208</v>
      </c>
      <c r="B71" s="1">
        <f t="shared" ref="B71:Z71" si="29">SIN(B68)</f>
        <v>2.6176948307873149E-2</v>
      </c>
      <c r="C71" s="1">
        <f t="shared" si="29"/>
        <v>2.6176948307873149E-2</v>
      </c>
      <c r="D71" s="1">
        <f t="shared" si="29"/>
        <v>2.6176948307873149E-2</v>
      </c>
      <c r="E71" s="1">
        <f t="shared" si="29"/>
        <v>2.6176948307873149E-2</v>
      </c>
      <c r="F71" s="1">
        <f t="shared" si="29"/>
        <v>2.6176948307873149E-2</v>
      </c>
      <c r="G71" s="1">
        <f t="shared" si="29"/>
        <v>2.6176948307873149E-2</v>
      </c>
      <c r="H71" s="1">
        <f t="shared" si="29"/>
        <v>2.6176948307873149E-2</v>
      </c>
      <c r="I71" s="1">
        <f t="shared" si="29"/>
        <v>2.6176948307873149E-2</v>
      </c>
      <c r="J71" s="1">
        <f t="shared" si="29"/>
        <v>2.6176948307873149E-2</v>
      </c>
      <c r="K71" s="1">
        <f t="shared" si="29"/>
        <v>2.6176948307873149E-2</v>
      </c>
      <c r="L71" s="1">
        <f t="shared" si="29"/>
        <v>2.6176948307873149E-2</v>
      </c>
      <c r="M71" s="1">
        <f t="shared" si="29"/>
        <v>2.6176948307873149E-2</v>
      </c>
      <c r="N71" s="1">
        <f t="shared" si="29"/>
        <v>2.6176948307873149E-2</v>
      </c>
      <c r="O71" s="1">
        <f t="shared" si="29"/>
        <v>2.6176948307873149E-2</v>
      </c>
      <c r="P71" s="1">
        <f t="shared" si="29"/>
        <v>2.6176948307873149E-2</v>
      </c>
      <c r="Q71" s="1">
        <f t="shared" si="29"/>
        <v>2.6176948307873149E-2</v>
      </c>
      <c r="R71" s="1">
        <f t="shared" si="29"/>
        <v>2.6176948307873149E-2</v>
      </c>
      <c r="S71" s="1">
        <f t="shared" si="29"/>
        <v>2.6176948307873149E-2</v>
      </c>
      <c r="T71" s="1">
        <f t="shared" si="29"/>
        <v>2.6176948307873149E-2</v>
      </c>
      <c r="U71" s="1">
        <f t="shared" si="29"/>
        <v>2.6176948307873149E-2</v>
      </c>
      <c r="V71" s="1">
        <f t="shared" si="29"/>
        <v>2.6176948307873149E-2</v>
      </c>
      <c r="W71" s="1">
        <f t="shared" si="29"/>
        <v>2.6176948307873149E-2</v>
      </c>
      <c r="X71" s="1">
        <f t="shared" si="29"/>
        <v>2.6176948307873149E-2</v>
      </c>
      <c r="Y71" s="1">
        <f t="shared" si="29"/>
        <v>2.6176948307873149E-2</v>
      </c>
      <c r="Z71" s="1">
        <f t="shared" si="29"/>
        <v>2.6176948307873149E-2</v>
      </c>
    </row>
    <row r="72" spans="1:27" x14ac:dyDescent="0.2">
      <c r="A72" s="17" t="s">
        <v>172</v>
      </c>
      <c r="B72" s="1">
        <v>0</v>
      </c>
      <c r="C72" s="1">
        <f t="shared" ref="C72:Z72" si="30">B72</f>
        <v>0</v>
      </c>
      <c r="D72" s="1">
        <f t="shared" si="30"/>
        <v>0</v>
      </c>
      <c r="E72" s="1">
        <f t="shared" si="30"/>
        <v>0</v>
      </c>
      <c r="F72" s="1">
        <f t="shared" si="30"/>
        <v>0</v>
      </c>
      <c r="G72" s="1">
        <f t="shared" si="30"/>
        <v>0</v>
      </c>
      <c r="H72" s="1">
        <f t="shared" si="30"/>
        <v>0</v>
      </c>
      <c r="I72" s="1">
        <f t="shared" si="30"/>
        <v>0</v>
      </c>
      <c r="J72" s="1">
        <f t="shared" si="30"/>
        <v>0</v>
      </c>
      <c r="K72" s="1">
        <f t="shared" si="30"/>
        <v>0</v>
      </c>
      <c r="L72" s="1">
        <f t="shared" si="30"/>
        <v>0</v>
      </c>
      <c r="M72" s="1">
        <f t="shared" si="30"/>
        <v>0</v>
      </c>
      <c r="N72" s="1">
        <f t="shared" si="30"/>
        <v>0</v>
      </c>
      <c r="O72" s="1">
        <f t="shared" si="30"/>
        <v>0</v>
      </c>
      <c r="P72" s="1">
        <f t="shared" si="30"/>
        <v>0</v>
      </c>
      <c r="Q72" s="1">
        <f t="shared" si="30"/>
        <v>0</v>
      </c>
      <c r="R72" s="1">
        <f t="shared" si="30"/>
        <v>0</v>
      </c>
      <c r="S72" s="1">
        <f t="shared" si="30"/>
        <v>0</v>
      </c>
      <c r="T72" s="1">
        <f t="shared" si="30"/>
        <v>0</v>
      </c>
      <c r="U72" s="1">
        <f t="shared" si="30"/>
        <v>0</v>
      </c>
      <c r="V72" s="1">
        <f t="shared" si="30"/>
        <v>0</v>
      </c>
      <c r="W72" s="1">
        <f t="shared" si="30"/>
        <v>0</v>
      </c>
      <c r="X72" s="1">
        <f t="shared" si="30"/>
        <v>0</v>
      </c>
      <c r="Y72" s="1">
        <f t="shared" si="30"/>
        <v>0</v>
      </c>
      <c r="Z72" s="1">
        <f t="shared" si="30"/>
        <v>0</v>
      </c>
    </row>
    <row r="73" spans="1:27" x14ac:dyDescent="0.2">
      <c r="A73" s="17" t="s">
        <v>175</v>
      </c>
      <c r="B73" s="1">
        <f>'Tyre Char.'!$D$14*'Tyre Char.'!$D$15</f>
        <v>1.25</v>
      </c>
      <c r="C73" s="1">
        <f t="shared" ref="C73:Z73" si="31">B73</f>
        <v>1.25</v>
      </c>
      <c r="D73" s="1">
        <f t="shared" si="31"/>
        <v>1.25</v>
      </c>
      <c r="E73" s="1">
        <f t="shared" si="31"/>
        <v>1.25</v>
      </c>
      <c r="F73" s="1">
        <f t="shared" si="31"/>
        <v>1.25</v>
      </c>
      <c r="G73" s="1">
        <f t="shared" si="31"/>
        <v>1.25</v>
      </c>
      <c r="H73" s="1">
        <f t="shared" si="31"/>
        <v>1.25</v>
      </c>
      <c r="I73" s="1">
        <f t="shared" si="31"/>
        <v>1.25</v>
      </c>
      <c r="J73" s="1">
        <f t="shared" si="31"/>
        <v>1.25</v>
      </c>
      <c r="K73" s="1">
        <f t="shared" si="31"/>
        <v>1.25</v>
      </c>
      <c r="L73" s="1">
        <f t="shared" si="31"/>
        <v>1.25</v>
      </c>
      <c r="M73" s="1">
        <f t="shared" si="31"/>
        <v>1.25</v>
      </c>
      <c r="N73" s="1">
        <f t="shared" si="31"/>
        <v>1.25</v>
      </c>
      <c r="O73" s="1">
        <f t="shared" si="31"/>
        <v>1.25</v>
      </c>
      <c r="P73" s="1">
        <f t="shared" si="31"/>
        <v>1.25</v>
      </c>
      <c r="Q73" s="1">
        <f t="shared" si="31"/>
        <v>1.25</v>
      </c>
      <c r="R73" s="1">
        <f t="shared" si="31"/>
        <v>1.25</v>
      </c>
      <c r="S73" s="1">
        <f t="shared" si="31"/>
        <v>1.25</v>
      </c>
      <c r="T73" s="1">
        <f t="shared" si="31"/>
        <v>1.25</v>
      </c>
      <c r="U73" s="1">
        <f t="shared" si="31"/>
        <v>1.25</v>
      </c>
      <c r="V73" s="1">
        <f t="shared" si="31"/>
        <v>1.25</v>
      </c>
      <c r="W73" s="1">
        <f t="shared" si="31"/>
        <v>1.25</v>
      </c>
      <c r="X73" s="1">
        <f t="shared" si="31"/>
        <v>1.25</v>
      </c>
      <c r="Y73" s="1">
        <f t="shared" si="31"/>
        <v>1.25</v>
      </c>
      <c r="Z73" s="1">
        <f t="shared" si="31"/>
        <v>1.25</v>
      </c>
    </row>
    <row r="74" spans="1:27" x14ac:dyDescent="0.2">
      <c r="A74" s="17" t="s">
        <v>19</v>
      </c>
      <c r="B74" s="6">
        <f>('Tyre Char.'!$D$16+'Tyre Char.'!$D$17*B72)*'Tyre Char.'!$D$18</f>
        <v>1.23</v>
      </c>
      <c r="C74" s="6">
        <f>('Tyre Char.'!$D$16+'Tyre Char.'!$D$17*C72)*'Tyre Char.'!$D$18</f>
        <v>1.23</v>
      </c>
      <c r="D74" s="6">
        <f>('Tyre Char.'!$D$16+'Tyre Char.'!$D$17*D72)*'Tyre Char.'!$D$18</f>
        <v>1.23</v>
      </c>
      <c r="E74" s="6">
        <f>('Tyre Char.'!$D$16+'Tyre Char.'!$D$17*E72)*'Tyre Char.'!$D$18</f>
        <v>1.23</v>
      </c>
      <c r="F74" s="6">
        <f>('Tyre Char.'!$D$16+'Tyre Char.'!$D$17*F72)*'Tyre Char.'!$D$18</f>
        <v>1.23</v>
      </c>
      <c r="G74" s="6">
        <f>('Tyre Char.'!$D$16+'Tyre Char.'!$D$17*G72)*'Tyre Char.'!$D$18</f>
        <v>1.23</v>
      </c>
      <c r="H74" s="6">
        <f>('Tyre Char.'!$D$16+'Tyre Char.'!$D$17*H72)*'Tyre Char.'!$D$18</f>
        <v>1.23</v>
      </c>
      <c r="I74" s="6">
        <f>('Tyre Char.'!$D$16+'Tyre Char.'!$D$17*I72)*'Tyre Char.'!$D$18</f>
        <v>1.23</v>
      </c>
      <c r="J74" s="6">
        <f>('Tyre Char.'!$D$16+'Tyre Char.'!$D$17*J72)*'Tyre Char.'!$D$18</f>
        <v>1.23</v>
      </c>
      <c r="K74" s="6">
        <f>('Tyre Char.'!$D$16+'Tyre Char.'!$D$17*K72)*'Tyre Char.'!$D$18</f>
        <v>1.23</v>
      </c>
      <c r="L74" s="6">
        <f>('Tyre Char.'!$D$16+'Tyre Char.'!$D$17*L72)*'Tyre Char.'!$D$18</f>
        <v>1.23</v>
      </c>
      <c r="M74" s="6">
        <f>('Tyre Char.'!$D$16+'Tyre Char.'!$D$17*M72)*'Tyre Char.'!$D$18</f>
        <v>1.23</v>
      </c>
      <c r="N74" s="6">
        <f>('Tyre Char.'!$D$16+'Tyre Char.'!$D$17*N72)*'Tyre Char.'!$D$18</f>
        <v>1.23</v>
      </c>
      <c r="O74" s="6">
        <f>('Tyre Char.'!$D$16+'Tyre Char.'!$D$17*O72)*'Tyre Char.'!$D$18</f>
        <v>1.23</v>
      </c>
      <c r="P74" s="6">
        <f>('Tyre Char.'!$D$16+'Tyre Char.'!$D$17*P72)*'Tyre Char.'!$D$18</f>
        <v>1.23</v>
      </c>
      <c r="Q74" s="6">
        <f>('Tyre Char.'!$D$16+'Tyre Char.'!$D$17*Q72)*'Tyre Char.'!$D$18</f>
        <v>1.23</v>
      </c>
      <c r="R74" s="6">
        <f>('Tyre Char.'!$D$16+'Tyre Char.'!$D$17*R72)*'Tyre Char.'!$D$18</f>
        <v>1.23</v>
      </c>
      <c r="S74" s="6">
        <f>('Tyre Char.'!$D$16+'Tyre Char.'!$D$17*S72)*'Tyre Char.'!$D$18</f>
        <v>1.23</v>
      </c>
      <c r="T74" s="6">
        <f>('Tyre Char.'!$D$16+'Tyre Char.'!$D$17*T72)*'Tyre Char.'!$D$18</f>
        <v>1.23</v>
      </c>
      <c r="U74" s="6">
        <f>('Tyre Char.'!$D$16+'Tyre Char.'!$D$17*U72)*'Tyre Char.'!$D$18</f>
        <v>1.23</v>
      </c>
      <c r="V74" s="6">
        <f>('Tyre Char.'!$D$16+'Tyre Char.'!$D$17*V72)*'Tyre Char.'!$D$18</f>
        <v>1.23</v>
      </c>
      <c r="W74" s="6">
        <f>('Tyre Char.'!$D$16+'Tyre Char.'!$D$17*W72)*'Tyre Char.'!$D$18</f>
        <v>1.23</v>
      </c>
      <c r="X74" s="6">
        <f>('Tyre Char.'!$D$16+'Tyre Char.'!$D$17*X72)*'Tyre Char.'!$D$18</f>
        <v>1.23</v>
      </c>
      <c r="Y74" s="6">
        <f>('Tyre Char.'!$D$16+'Tyre Char.'!$D$17*Y72)*'Tyre Char.'!$D$18</f>
        <v>1.23</v>
      </c>
      <c r="Z74" s="6">
        <f>('Tyre Char.'!$D$16+'Tyre Char.'!$D$17*Z72)*'Tyre Char.'!$D$18</f>
        <v>1.23</v>
      </c>
      <c r="AA74" s="6"/>
    </row>
    <row r="75" spans="1:27" x14ac:dyDescent="0.2">
      <c r="A75" s="17" t="s">
        <v>176</v>
      </c>
      <c r="B75" s="1">
        <f t="shared" ref="B75:Z75" si="32">B74*B69</f>
        <v>1013.5692000000001</v>
      </c>
      <c r="C75" s="1">
        <f t="shared" si="32"/>
        <v>473.47622889988315</v>
      </c>
      <c r="D75" s="1">
        <f t="shared" si="32"/>
        <v>370.99735053316789</v>
      </c>
      <c r="E75" s="1">
        <f t="shared" si="32"/>
        <v>375.39935783215367</v>
      </c>
      <c r="F75" s="1">
        <f t="shared" si="32"/>
        <v>374.84285560130496</v>
      </c>
      <c r="G75" s="1">
        <f t="shared" si="32"/>
        <v>374.91341449648411</v>
      </c>
      <c r="H75" s="1">
        <f t="shared" si="32"/>
        <v>374.90447164457873</v>
      </c>
      <c r="I75" s="1">
        <f t="shared" si="32"/>
        <v>374.9056051423338</v>
      </c>
      <c r="J75" s="1">
        <f t="shared" si="32"/>
        <v>374.90546147345282</v>
      </c>
      <c r="K75" s="1">
        <f t="shared" si="32"/>
        <v>374.90547968324876</v>
      </c>
      <c r="L75" s="1">
        <f t="shared" si="32"/>
        <v>374.9054773751871</v>
      </c>
      <c r="M75" s="1">
        <f t="shared" si="32"/>
        <v>374.90547766773022</v>
      </c>
      <c r="N75" s="1">
        <f t="shared" si="32"/>
        <v>374.90547763065075</v>
      </c>
      <c r="O75" s="1">
        <f t="shared" si="32"/>
        <v>374.90547763535062</v>
      </c>
      <c r="P75" s="1">
        <f t="shared" si="32"/>
        <v>374.90547763475479</v>
      </c>
      <c r="Q75" s="1">
        <f t="shared" si="32"/>
        <v>374.90547763483028</v>
      </c>
      <c r="R75" s="1">
        <f t="shared" si="32"/>
        <v>374.9054776348209</v>
      </c>
      <c r="S75" s="1">
        <f t="shared" si="32"/>
        <v>374.9054776348222</v>
      </c>
      <c r="T75" s="1">
        <f t="shared" si="32"/>
        <v>374.90547763482175</v>
      </c>
      <c r="U75" s="1">
        <f t="shared" si="32"/>
        <v>374.90547763482203</v>
      </c>
      <c r="V75" s="1">
        <f t="shared" si="32"/>
        <v>374.90547763482175</v>
      </c>
      <c r="W75" s="1">
        <f t="shared" si="32"/>
        <v>374.90547763482203</v>
      </c>
      <c r="X75" s="1">
        <f t="shared" si="32"/>
        <v>374.90547763482175</v>
      </c>
      <c r="Y75" s="1">
        <f t="shared" si="32"/>
        <v>374.90547763482203</v>
      </c>
      <c r="Z75" s="1">
        <f t="shared" si="32"/>
        <v>374.90547763482175</v>
      </c>
    </row>
    <row r="76" spans="1:27" x14ac:dyDescent="0.2">
      <c r="A76" s="17" t="s">
        <v>177</v>
      </c>
      <c r="B76" s="1">
        <f>B69*('Tyre Char.'!$D$24+'Tyre Char.'!$D$25*B72)*EXP('Tyre Char.'!$D$26*B72)*'Tyre Char.'!$D$27</f>
        <v>13184.640000000001</v>
      </c>
      <c r="C76" s="1">
        <f>C69*('Tyre Char.'!$D$24+'Tyre Char.'!$D$25*C72)*EXP('Tyre Char.'!$D$26*C72)*'Tyre Char.'!$D$27</f>
        <v>6159.0403759334395</v>
      </c>
      <c r="D76" s="1">
        <f>D69*('Tyre Char.'!$D$24+'Tyre Char.'!$D$25*D72)*EXP('Tyre Char.'!$D$26*D72)*'Tyre Char.'!$D$27</f>
        <v>4825.9817955534036</v>
      </c>
      <c r="E76" s="1">
        <f>E69*('Tyre Char.'!$D$24+'Tyre Char.'!$D$25*E72)*EXP('Tyre Char.'!$D$26*E72)*'Tyre Char.'!$D$27</f>
        <v>4883.2436791174459</v>
      </c>
      <c r="F76" s="1">
        <f>F69*('Tyre Char.'!$D$24+'Tyre Char.'!$D$25*F72)*EXP('Tyre Char.'!$D$26*F72)*'Tyre Char.'!$D$27</f>
        <v>4876.0046257080321</v>
      </c>
      <c r="G76" s="1">
        <f>G69*('Tyre Char.'!$D$24+'Tyre Char.'!$D$25*G72)*EXP('Tyre Char.'!$D$26*G72)*'Tyre Char.'!$D$27</f>
        <v>4876.9224649949156</v>
      </c>
      <c r="H76" s="1">
        <f>H69*('Tyre Char.'!$D$24+'Tyre Char.'!$D$25*H72)*EXP('Tyre Char.'!$D$26*H72)*'Tyre Char.'!$D$27</f>
        <v>4876.8061352140321</v>
      </c>
      <c r="I76" s="1">
        <f>I69*('Tyre Char.'!$D$24+'Tyre Char.'!$D$25*I72)*EXP('Tyre Char.'!$D$26*I72)*'Tyre Char.'!$D$27</f>
        <v>4876.8208799002769</v>
      </c>
      <c r="J76" s="1">
        <f>J69*('Tyre Char.'!$D$24+'Tyre Char.'!$D$25*J72)*EXP('Tyre Char.'!$D$26*J72)*'Tyre Char.'!$D$27</f>
        <v>4876.819011036785</v>
      </c>
      <c r="K76" s="1">
        <f>K69*('Tyre Char.'!$D$24+'Tyre Char.'!$D$25*K72)*EXP('Tyre Char.'!$D$26*K72)*'Tyre Char.'!$D$27</f>
        <v>4876.819247912179</v>
      </c>
      <c r="L76" s="1">
        <f>L69*('Tyre Char.'!$D$24+'Tyre Char.'!$D$25*L72)*EXP('Tyre Char.'!$D$26*L72)*'Tyre Char.'!$D$27</f>
        <v>4876.8192178886129</v>
      </c>
      <c r="M76" s="1">
        <f>M69*('Tyre Char.'!$D$24+'Tyre Char.'!$D$25*M72)*EXP('Tyre Char.'!$D$26*M72)*'Tyre Char.'!$D$27</f>
        <v>4876.8192216940515</v>
      </c>
      <c r="N76" s="1">
        <f>N69*('Tyre Char.'!$D$24+'Tyre Char.'!$D$25*N72)*EXP('Tyre Char.'!$D$26*N72)*'Tyre Char.'!$D$27</f>
        <v>4876.8192212117174</v>
      </c>
      <c r="O76" s="1">
        <f>O69*('Tyre Char.'!$D$24+'Tyre Char.'!$D$25*O72)*EXP('Tyre Char.'!$D$26*O72)*'Tyre Char.'!$D$27</f>
        <v>4876.8192212728536</v>
      </c>
      <c r="P76" s="1">
        <f>P69*('Tyre Char.'!$D$24+'Tyre Char.'!$D$25*P72)*EXP('Tyre Char.'!$D$26*P72)*'Tyre Char.'!$D$27</f>
        <v>4876.8192212651029</v>
      </c>
      <c r="Q76" s="1">
        <f>Q69*('Tyre Char.'!$D$24+'Tyre Char.'!$D$25*Q72)*EXP('Tyre Char.'!$D$26*Q72)*'Tyre Char.'!$D$27</f>
        <v>4876.8192212660852</v>
      </c>
      <c r="R76" s="1">
        <f>R69*('Tyre Char.'!$D$24+'Tyre Char.'!$D$25*R72)*EXP('Tyre Char.'!$D$26*R72)*'Tyre Char.'!$D$27</f>
        <v>4876.8192212659633</v>
      </c>
      <c r="S76" s="1">
        <f>S69*('Tyre Char.'!$D$24+'Tyre Char.'!$D$25*S72)*EXP('Tyre Char.'!$D$26*S72)*'Tyre Char.'!$D$27</f>
        <v>4876.8192212659796</v>
      </c>
      <c r="T76" s="1">
        <f>T69*('Tyre Char.'!$D$24+'Tyre Char.'!$D$25*T72)*EXP('Tyre Char.'!$D$26*T72)*'Tyre Char.'!$D$27</f>
        <v>4876.8192212659742</v>
      </c>
      <c r="U76" s="1">
        <f>U69*('Tyre Char.'!$D$24+'Tyre Char.'!$D$25*U72)*EXP('Tyre Char.'!$D$26*U72)*'Tyre Char.'!$D$27</f>
        <v>4876.8192212659778</v>
      </c>
      <c r="V76" s="1">
        <f>V69*('Tyre Char.'!$D$24+'Tyre Char.'!$D$25*V72)*EXP('Tyre Char.'!$D$26*V72)*'Tyre Char.'!$D$27</f>
        <v>4876.8192212659742</v>
      </c>
      <c r="W76" s="1">
        <f>W69*('Tyre Char.'!$D$24+'Tyre Char.'!$D$25*W72)*EXP('Tyre Char.'!$D$26*W72)*'Tyre Char.'!$D$27</f>
        <v>4876.8192212659778</v>
      </c>
      <c r="X76" s="1">
        <f>X69*('Tyre Char.'!$D$24+'Tyre Char.'!$D$25*X72)*EXP('Tyre Char.'!$D$26*X72)*'Tyre Char.'!$D$27</f>
        <v>4876.8192212659742</v>
      </c>
      <c r="Y76" s="1">
        <f>Y69*('Tyre Char.'!$D$24+'Tyre Char.'!$D$25*Y72)*EXP('Tyre Char.'!$D$26*Y72)*'Tyre Char.'!$D$27</f>
        <v>4876.8192212659778</v>
      </c>
      <c r="Z76" s="1">
        <f>Z69*('Tyre Char.'!$D$24+'Tyre Char.'!$D$25*Z72)*EXP('Tyre Char.'!$D$26*Z72)*'Tyre Char.'!$D$27</f>
        <v>4876.8192212659742</v>
      </c>
    </row>
    <row r="77" spans="1:27" x14ac:dyDescent="0.2">
      <c r="A77" s="17" t="s">
        <v>178</v>
      </c>
      <c r="B77" s="1">
        <f t="shared" ref="B77:Z77" si="33">B76/(B73*B75)</f>
        <v>10.40650406504065</v>
      </c>
      <c r="C77" s="1">
        <f t="shared" si="33"/>
        <v>10.40650406504065</v>
      </c>
      <c r="D77" s="1">
        <f t="shared" si="33"/>
        <v>10.40650406504065</v>
      </c>
      <c r="E77" s="1">
        <f t="shared" si="33"/>
        <v>10.40650406504065</v>
      </c>
      <c r="F77" s="1">
        <f t="shared" si="33"/>
        <v>10.40650406504065</v>
      </c>
      <c r="G77" s="1">
        <f t="shared" si="33"/>
        <v>10.40650406504065</v>
      </c>
      <c r="H77" s="1">
        <f t="shared" si="33"/>
        <v>10.40650406504065</v>
      </c>
      <c r="I77" s="1">
        <f t="shared" si="33"/>
        <v>10.40650406504065</v>
      </c>
      <c r="J77" s="1">
        <f t="shared" si="33"/>
        <v>10.406504065040652</v>
      </c>
      <c r="K77" s="1">
        <f t="shared" si="33"/>
        <v>10.40650406504065</v>
      </c>
      <c r="L77" s="1">
        <f t="shared" si="33"/>
        <v>10.406504065040652</v>
      </c>
      <c r="M77" s="1">
        <f t="shared" si="33"/>
        <v>10.40650406504065</v>
      </c>
      <c r="N77" s="1">
        <f t="shared" si="33"/>
        <v>10.406504065040652</v>
      </c>
      <c r="O77" s="1">
        <f t="shared" si="33"/>
        <v>10.40650406504065</v>
      </c>
      <c r="P77" s="1">
        <f t="shared" si="33"/>
        <v>10.40650406504065</v>
      </c>
      <c r="Q77" s="1">
        <f t="shared" si="33"/>
        <v>10.40650406504065</v>
      </c>
      <c r="R77" s="1">
        <f t="shared" si="33"/>
        <v>10.40650406504065</v>
      </c>
      <c r="S77" s="1">
        <f t="shared" si="33"/>
        <v>10.40650406504065</v>
      </c>
      <c r="T77" s="1">
        <f t="shared" si="33"/>
        <v>10.406504065040652</v>
      </c>
      <c r="U77" s="1">
        <f t="shared" si="33"/>
        <v>10.40650406504065</v>
      </c>
      <c r="V77" s="1">
        <f t="shared" si="33"/>
        <v>10.406504065040652</v>
      </c>
      <c r="W77" s="1">
        <f t="shared" si="33"/>
        <v>10.40650406504065</v>
      </c>
      <c r="X77" s="1">
        <f t="shared" si="33"/>
        <v>10.406504065040652</v>
      </c>
      <c r="Y77" s="1">
        <f t="shared" si="33"/>
        <v>10.40650406504065</v>
      </c>
      <c r="Z77" s="1">
        <f t="shared" si="33"/>
        <v>10.406504065040652</v>
      </c>
    </row>
    <row r="78" spans="1:27" x14ac:dyDescent="0.2">
      <c r="A78" s="17" t="s">
        <v>209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</row>
    <row r="79" spans="1:27" x14ac:dyDescent="0.2">
      <c r="A79" s="17" t="s">
        <v>173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</row>
    <row r="80" spans="1:27" x14ac:dyDescent="0.2">
      <c r="A80" s="17" t="s">
        <v>179</v>
      </c>
      <c r="B80" s="1">
        <f t="shared" ref="B80:Z80" si="34">B70+B78</f>
        <v>1.0022472422902517</v>
      </c>
      <c r="C80" s="1">
        <f t="shared" si="34"/>
        <v>1.0022472422902517</v>
      </c>
      <c r="D80" s="1">
        <f t="shared" si="34"/>
        <v>1.0022472422902517</v>
      </c>
      <c r="E80" s="1">
        <f t="shared" si="34"/>
        <v>1.0022472422902517</v>
      </c>
      <c r="F80" s="1">
        <f t="shared" si="34"/>
        <v>1.0022472422902517</v>
      </c>
      <c r="G80" s="1">
        <f t="shared" si="34"/>
        <v>1.0022472422902517</v>
      </c>
      <c r="H80" s="1">
        <f t="shared" si="34"/>
        <v>1.0022472422902517</v>
      </c>
      <c r="I80" s="1">
        <f t="shared" si="34"/>
        <v>1.0022472422902517</v>
      </c>
      <c r="J80" s="1">
        <f t="shared" si="34"/>
        <v>1.0022472422902517</v>
      </c>
      <c r="K80" s="1">
        <f t="shared" si="34"/>
        <v>1.0022472422902517</v>
      </c>
      <c r="L80" s="1">
        <f t="shared" si="34"/>
        <v>1.0022472422902517</v>
      </c>
      <c r="M80" s="1">
        <f t="shared" si="34"/>
        <v>1.0022472422902517</v>
      </c>
      <c r="N80" s="1">
        <f t="shared" si="34"/>
        <v>1.0022472422902517</v>
      </c>
      <c r="O80" s="1">
        <f t="shared" si="34"/>
        <v>1.0022472422902517</v>
      </c>
      <c r="P80" s="1">
        <f t="shared" si="34"/>
        <v>1.0022472422902517</v>
      </c>
      <c r="Q80" s="1">
        <f t="shared" si="34"/>
        <v>1.0022472422902517</v>
      </c>
      <c r="R80" s="1">
        <f t="shared" si="34"/>
        <v>1.0022472422902517</v>
      </c>
      <c r="S80" s="1">
        <f t="shared" si="34"/>
        <v>1.0022472422902517</v>
      </c>
      <c r="T80" s="1">
        <f t="shared" si="34"/>
        <v>1.0022472422902517</v>
      </c>
      <c r="U80" s="1">
        <f t="shared" si="34"/>
        <v>1.0022472422902517</v>
      </c>
      <c r="V80" s="1">
        <f t="shared" si="34"/>
        <v>1.0022472422902517</v>
      </c>
      <c r="W80" s="1">
        <f t="shared" si="34"/>
        <v>1.0022472422902517</v>
      </c>
      <c r="X80" s="1">
        <f t="shared" si="34"/>
        <v>1.0022472422902517</v>
      </c>
      <c r="Y80" s="1">
        <f t="shared" si="34"/>
        <v>1.0022472422902517</v>
      </c>
      <c r="Z80" s="1">
        <f t="shared" si="34"/>
        <v>1.0022472422902517</v>
      </c>
    </row>
    <row r="81" spans="1:26" x14ac:dyDescent="0.2">
      <c r="A81" s="17" t="s">
        <v>180</v>
      </c>
      <c r="B81" s="1">
        <f>('Tyre Char.'!$D$19+'Tyre Char.'!$D$20*B72+'Tyre Char.'!$D$21*B72^2)*(1-'Tyre Char.'!$D$22*SIGN(B80))*'Tyre Char.'!$D$23</f>
        <v>-0.8</v>
      </c>
      <c r="C81" s="1">
        <f>('Tyre Char.'!$D$19+'Tyre Char.'!$D$20*C72+'Tyre Char.'!$D$21*C72^2)*(1-'Tyre Char.'!$D$22*SIGN(C80))*'Tyre Char.'!$D$23</f>
        <v>-0.8</v>
      </c>
      <c r="D81" s="1">
        <f>('Tyre Char.'!$D$19+'Tyre Char.'!$D$20*D72+'Tyre Char.'!$D$21*D72^2)*(1-'Tyre Char.'!$D$22*SIGN(D80))*'Tyre Char.'!$D$23</f>
        <v>-0.8</v>
      </c>
      <c r="E81" s="1">
        <f>('Tyre Char.'!$D$19+'Tyre Char.'!$D$20*E72+'Tyre Char.'!$D$21*E72^2)*(1-'Tyre Char.'!$D$22*SIGN(E80))*'Tyre Char.'!$D$23</f>
        <v>-0.8</v>
      </c>
      <c r="F81" s="1">
        <f>('Tyre Char.'!$D$19+'Tyre Char.'!$D$20*F72+'Tyre Char.'!$D$21*F72^2)*(1-'Tyre Char.'!$D$22*SIGN(F80))*'Tyre Char.'!$D$23</f>
        <v>-0.8</v>
      </c>
      <c r="G81" s="1">
        <f>('Tyre Char.'!$D$19+'Tyre Char.'!$D$20*G72+'Tyre Char.'!$D$21*G72^2)*(1-'Tyre Char.'!$D$22*SIGN(G80))*'Tyre Char.'!$D$23</f>
        <v>-0.8</v>
      </c>
      <c r="H81" s="1">
        <f>('Tyre Char.'!$D$19+'Tyre Char.'!$D$20*H72+'Tyre Char.'!$D$21*H72^2)*(1-'Tyre Char.'!$D$22*SIGN(H80))*'Tyre Char.'!$D$23</f>
        <v>-0.8</v>
      </c>
      <c r="I81" s="1">
        <f>('Tyre Char.'!$D$19+'Tyre Char.'!$D$20*I72+'Tyre Char.'!$D$21*I72^2)*(1-'Tyre Char.'!$D$22*SIGN(I80))*'Tyre Char.'!$D$23</f>
        <v>-0.8</v>
      </c>
      <c r="J81" s="1">
        <f>('Tyre Char.'!$D$19+'Tyre Char.'!$D$20*J72+'Tyre Char.'!$D$21*J72^2)*(1-'Tyre Char.'!$D$22*SIGN(J80))*'Tyre Char.'!$D$23</f>
        <v>-0.8</v>
      </c>
      <c r="K81" s="1">
        <f>('Tyre Char.'!$D$19+'Tyre Char.'!$D$20*K72+'Tyre Char.'!$D$21*K72^2)*(1-'Tyre Char.'!$D$22*SIGN(K80))*'Tyre Char.'!$D$23</f>
        <v>-0.8</v>
      </c>
      <c r="L81" s="1">
        <f>('Tyre Char.'!$D$19+'Tyre Char.'!$D$20*L72+'Tyre Char.'!$D$21*L72^2)*(1-'Tyre Char.'!$D$22*SIGN(L80))*'Tyre Char.'!$D$23</f>
        <v>-0.8</v>
      </c>
      <c r="M81" s="1">
        <f>('Tyre Char.'!$D$19+'Tyre Char.'!$D$20*M72+'Tyre Char.'!$D$21*M72^2)*(1-'Tyre Char.'!$D$22*SIGN(M80))*'Tyre Char.'!$D$23</f>
        <v>-0.8</v>
      </c>
      <c r="N81" s="1">
        <f>('Tyre Char.'!$D$19+'Tyre Char.'!$D$20*N72+'Tyre Char.'!$D$21*N72^2)*(1-'Tyre Char.'!$D$22*SIGN(N80))*'Tyre Char.'!$D$23</f>
        <v>-0.8</v>
      </c>
      <c r="O81" s="1">
        <f>('Tyre Char.'!$D$19+'Tyre Char.'!$D$20*O72+'Tyre Char.'!$D$21*O72^2)*(1-'Tyre Char.'!$D$22*SIGN(O80))*'Tyre Char.'!$D$23</f>
        <v>-0.8</v>
      </c>
      <c r="P81" s="1">
        <f>('Tyre Char.'!$D$19+'Tyre Char.'!$D$20*P72+'Tyre Char.'!$D$21*P72^2)*(1-'Tyre Char.'!$D$22*SIGN(P80))*'Tyre Char.'!$D$23</f>
        <v>-0.8</v>
      </c>
      <c r="Q81" s="1">
        <f>('Tyre Char.'!$D$19+'Tyre Char.'!$D$20*Q72+'Tyre Char.'!$D$21*Q72^2)*(1-'Tyre Char.'!$D$22*SIGN(Q80))*'Tyre Char.'!$D$23</f>
        <v>-0.8</v>
      </c>
      <c r="R81" s="1">
        <f>('Tyre Char.'!$D$19+'Tyre Char.'!$D$20*R72+'Tyre Char.'!$D$21*R72^2)*(1-'Tyre Char.'!$D$22*SIGN(R80))*'Tyre Char.'!$D$23</f>
        <v>-0.8</v>
      </c>
      <c r="S81" s="1">
        <f>('Tyre Char.'!$D$19+'Tyre Char.'!$D$20*S72+'Tyre Char.'!$D$21*S72^2)*(1-'Tyre Char.'!$D$22*SIGN(S80))*'Tyre Char.'!$D$23</f>
        <v>-0.8</v>
      </c>
      <c r="T81" s="1">
        <f>('Tyre Char.'!$D$19+'Tyre Char.'!$D$20*T72+'Tyre Char.'!$D$21*T72^2)*(1-'Tyre Char.'!$D$22*SIGN(T80))*'Tyre Char.'!$D$23</f>
        <v>-0.8</v>
      </c>
      <c r="U81" s="1">
        <f>('Tyre Char.'!$D$19+'Tyre Char.'!$D$20*U72+'Tyre Char.'!$D$21*U72^2)*(1-'Tyre Char.'!$D$22*SIGN(U80))*'Tyre Char.'!$D$23</f>
        <v>-0.8</v>
      </c>
      <c r="V81" s="1">
        <f>('Tyre Char.'!$D$19+'Tyre Char.'!$D$20*V72+'Tyre Char.'!$D$21*V72^2)*(1-'Tyre Char.'!$D$22*SIGN(V80))*'Tyre Char.'!$D$23</f>
        <v>-0.8</v>
      </c>
      <c r="W81" s="1">
        <f>('Tyre Char.'!$D$19+'Tyre Char.'!$D$20*W72+'Tyre Char.'!$D$21*W72^2)*(1-'Tyre Char.'!$D$22*SIGN(W80))*'Tyre Char.'!$D$23</f>
        <v>-0.8</v>
      </c>
      <c r="X81" s="1">
        <f>('Tyre Char.'!$D$19+'Tyre Char.'!$D$20*X72+'Tyre Char.'!$D$21*X72^2)*(1-'Tyre Char.'!$D$22*SIGN(X80))*'Tyre Char.'!$D$23</f>
        <v>-0.8</v>
      </c>
      <c r="Y81" s="1">
        <f>('Tyre Char.'!$D$19+'Tyre Char.'!$D$20*Y72+'Tyre Char.'!$D$21*Y72^2)*(1-'Tyre Char.'!$D$22*SIGN(Y80))*'Tyre Char.'!$D$23</f>
        <v>-0.8</v>
      </c>
      <c r="Z81" s="1">
        <f>('Tyre Char.'!$D$19+'Tyre Char.'!$D$20*Z72+'Tyre Char.'!$D$21*Z72^2)*(1-'Tyre Char.'!$D$22*SIGN(Z80))*'Tyre Char.'!$D$23</f>
        <v>-0.8</v>
      </c>
    </row>
    <row r="82" spans="1:26" x14ac:dyDescent="0.2">
      <c r="A82" s="18" t="s">
        <v>181</v>
      </c>
      <c r="B82" s="1">
        <f t="shared" ref="B82:Z82" si="35">B75*SIN(B73*ATAN(B77*B80-B81*(B77*B80-ATAN(B77*B80))))</f>
        <v>961.5637150779753</v>
      </c>
      <c r="C82" s="1">
        <f t="shared" si="35"/>
        <v>449.18251428918853</v>
      </c>
      <c r="D82" s="1">
        <f t="shared" si="35"/>
        <v>351.96175126746033</v>
      </c>
      <c r="E82" s="1">
        <f t="shared" si="35"/>
        <v>356.13789483241192</v>
      </c>
      <c r="F82" s="1">
        <f t="shared" si="35"/>
        <v>355.60994631883824</v>
      </c>
      <c r="G82" s="1">
        <f t="shared" si="35"/>
        <v>355.67688488936727</v>
      </c>
      <c r="H82" s="1">
        <f t="shared" si="35"/>
        <v>355.66840088856935</v>
      </c>
      <c r="I82" s="1">
        <f t="shared" si="35"/>
        <v>355.66947622739417</v>
      </c>
      <c r="J82" s="1">
        <f t="shared" si="35"/>
        <v>355.66933993005705</v>
      </c>
      <c r="K82" s="1">
        <f t="shared" si="35"/>
        <v>355.66935720552186</v>
      </c>
      <c r="L82" s="1">
        <f t="shared" si="35"/>
        <v>355.66935501588512</v>
      </c>
      <c r="M82" s="1">
        <f t="shared" si="35"/>
        <v>355.66935529341811</v>
      </c>
      <c r="N82" s="1">
        <f t="shared" si="35"/>
        <v>355.66935525824113</v>
      </c>
      <c r="O82" s="1">
        <f t="shared" si="35"/>
        <v>355.66935526269987</v>
      </c>
      <c r="P82" s="1">
        <f t="shared" si="35"/>
        <v>355.66935526213462</v>
      </c>
      <c r="Q82" s="1">
        <f t="shared" si="35"/>
        <v>355.66935526220618</v>
      </c>
      <c r="R82" s="1">
        <f t="shared" si="35"/>
        <v>355.66935526219731</v>
      </c>
      <c r="S82" s="1">
        <f t="shared" si="35"/>
        <v>355.66935526219856</v>
      </c>
      <c r="T82" s="1">
        <f t="shared" si="35"/>
        <v>355.66935526219811</v>
      </c>
      <c r="U82" s="1">
        <f t="shared" si="35"/>
        <v>355.66935526219839</v>
      </c>
      <c r="V82" s="1">
        <f t="shared" si="35"/>
        <v>355.66935526219811</v>
      </c>
      <c r="W82" s="1">
        <f t="shared" si="35"/>
        <v>355.66935526219839</v>
      </c>
      <c r="X82" s="1">
        <f t="shared" si="35"/>
        <v>355.66935526219811</v>
      </c>
      <c r="Y82" s="1">
        <f t="shared" si="35"/>
        <v>355.66935526219839</v>
      </c>
      <c r="Z82" s="1">
        <f t="shared" si="35"/>
        <v>355.66935526219811</v>
      </c>
    </row>
    <row r="85" spans="1:26" x14ac:dyDescent="0.2">
      <c r="A85" s="16" t="s">
        <v>203</v>
      </c>
      <c r="B85" s="1">
        <v>1.0001</v>
      </c>
      <c r="C85" s="1">
        <f t="shared" ref="C85:Z85" si="36">B85+$B$6</f>
        <v>1.2351000000000001</v>
      </c>
      <c r="D85" s="1">
        <f t="shared" si="36"/>
        <v>1.4701</v>
      </c>
      <c r="E85" s="1">
        <f t="shared" si="36"/>
        <v>1.7050999999999998</v>
      </c>
      <c r="F85" s="1">
        <f t="shared" si="36"/>
        <v>1.9400999999999997</v>
      </c>
      <c r="G85" s="1">
        <f t="shared" si="36"/>
        <v>2.1750999999999996</v>
      </c>
      <c r="H85" s="1">
        <f t="shared" si="36"/>
        <v>2.4100999999999995</v>
      </c>
      <c r="I85" s="1">
        <f t="shared" si="36"/>
        <v>2.6450999999999993</v>
      </c>
      <c r="J85" s="1">
        <f t="shared" si="36"/>
        <v>2.8800999999999992</v>
      </c>
      <c r="K85" s="1">
        <f t="shared" si="36"/>
        <v>3.1150999999999991</v>
      </c>
      <c r="L85" s="1">
        <f t="shared" si="36"/>
        <v>3.350099999999999</v>
      </c>
      <c r="M85" s="1">
        <f t="shared" si="36"/>
        <v>3.5850999999999988</v>
      </c>
      <c r="N85" s="1">
        <f t="shared" si="36"/>
        <v>3.8200999999999987</v>
      </c>
      <c r="O85" s="1">
        <f t="shared" si="36"/>
        <v>4.0550999999999986</v>
      </c>
      <c r="P85" s="1">
        <f t="shared" si="36"/>
        <v>4.2900999999999989</v>
      </c>
      <c r="Q85" s="1">
        <f t="shared" si="36"/>
        <v>4.5250999999999992</v>
      </c>
      <c r="R85" s="1">
        <f t="shared" si="36"/>
        <v>4.7600999999999996</v>
      </c>
      <c r="S85" s="1">
        <f t="shared" si="36"/>
        <v>4.9950999999999999</v>
      </c>
      <c r="T85" s="1">
        <f t="shared" si="36"/>
        <v>5.2301000000000002</v>
      </c>
      <c r="U85" s="1">
        <f t="shared" si="36"/>
        <v>5.4651000000000005</v>
      </c>
      <c r="V85" s="1">
        <f t="shared" si="36"/>
        <v>5.7001000000000008</v>
      </c>
      <c r="W85" s="1">
        <f t="shared" si="36"/>
        <v>5.9351000000000012</v>
      </c>
      <c r="X85" s="1">
        <f t="shared" si="36"/>
        <v>6.1701000000000015</v>
      </c>
      <c r="Y85" s="1">
        <f t="shared" si="36"/>
        <v>6.4051000000000018</v>
      </c>
      <c r="Z85" s="1">
        <f t="shared" si="36"/>
        <v>6.6401000000000021</v>
      </c>
    </row>
    <row r="86" spans="1:26" x14ac:dyDescent="0.2">
      <c r="A86" s="17" t="s">
        <v>204</v>
      </c>
      <c r="B86" s="1">
        <f>'Tyre Char.'!$D$3</f>
        <v>1.5</v>
      </c>
      <c r="C86" s="1">
        <f>'Tyre Char.'!$D$3</f>
        <v>1.5</v>
      </c>
      <c r="D86" s="1">
        <f>'Tyre Char.'!$D$3</f>
        <v>1.5</v>
      </c>
      <c r="E86" s="1">
        <f>'Tyre Char.'!$D$3</f>
        <v>1.5</v>
      </c>
      <c r="F86" s="1">
        <f>'Tyre Char.'!$D$3</f>
        <v>1.5</v>
      </c>
      <c r="G86" s="1">
        <f>'Tyre Char.'!$D$3</f>
        <v>1.5</v>
      </c>
      <c r="H86" s="1">
        <f>'Tyre Char.'!$D$3</f>
        <v>1.5</v>
      </c>
      <c r="I86" s="1">
        <f>'Tyre Char.'!$D$3</f>
        <v>1.5</v>
      </c>
      <c r="J86" s="1">
        <f>'Tyre Char.'!$D$3</f>
        <v>1.5</v>
      </c>
      <c r="K86" s="1">
        <f>'Tyre Char.'!$D$3</f>
        <v>1.5</v>
      </c>
      <c r="L86" s="1">
        <f>'Tyre Char.'!$D$3</f>
        <v>1.5</v>
      </c>
      <c r="M86" s="1">
        <f>'Tyre Char.'!$D$3</f>
        <v>1.5</v>
      </c>
      <c r="N86" s="1">
        <f>'Tyre Char.'!$D$3</f>
        <v>1.5</v>
      </c>
      <c r="O86" s="1">
        <f>'Tyre Char.'!$D$3</f>
        <v>1.5</v>
      </c>
      <c r="P86" s="1">
        <f>'Tyre Char.'!$D$3</f>
        <v>1.5</v>
      </c>
      <c r="Q86" s="1">
        <f>'Tyre Char.'!$D$3</f>
        <v>1.5</v>
      </c>
      <c r="R86" s="1">
        <f>'Tyre Char.'!$D$3</f>
        <v>1.5</v>
      </c>
      <c r="S86" s="1">
        <f>'Tyre Char.'!$D$3</f>
        <v>1.5</v>
      </c>
      <c r="T86" s="1">
        <f>'Tyre Char.'!$D$3</f>
        <v>1.5</v>
      </c>
      <c r="U86" s="1">
        <f>'Tyre Char.'!$D$3</f>
        <v>1.5</v>
      </c>
      <c r="V86" s="1">
        <f>'Tyre Char.'!$D$3</f>
        <v>1.5</v>
      </c>
      <c r="W86" s="1">
        <f>'Tyre Char.'!$D$3</f>
        <v>1.5</v>
      </c>
      <c r="X86" s="1">
        <f>'Tyre Char.'!$D$3</f>
        <v>1.5</v>
      </c>
      <c r="Y86" s="1">
        <f>'Tyre Char.'!$D$3</f>
        <v>1.5</v>
      </c>
      <c r="Z86" s="1">
        <f>'Tyre Char.'!$D$3</f>
        <v>1.5</v>
      </c>
    </row>
    <row r="87" spans="1:26" x14ac:dyDescent="0.2">
      <c r="A87" s="17" t="s">
        <v>205</v>
      </c>
      <c r="B87" s="1">
        <f t="shared" ref="B87:Z87" si="37">B86/180*PI()</f>
        <v>2.6179938779914941E-2</v>
      </c>
      <c r="C87" s="1">
        <f t="shared" si="37"/>
        <v>2.6179938779914941E-2</v>
      </c>
      <c r="D87" s="1">
        <f t="shared" si="37"/>
        <v>2.6179938779914941E-2</v>
      </c>
      <c r="E87" s="1">
        <f t="shared" si="37"/>
        <v>2.6179938779914941E-2</v>
      </c>
      <c r="F87" s="1">
        <f t="shared" si="37"/>
        <v>2.6179938779914941E-2</v>
      </c>
      <c r="G87" s="1">
        <f t="shared" si="37"/>
        <v>2.6179938779914941E-2</v>
      </c>
      <c r="H87" s="1">
        <f t="shared" si="37"/>
        <v>2.6179938779914941E-2</v>
      </c>
      <c r="I87" s="1">
        <f t="shared" si="37"/>
        <v>2.6179938779914941E-2</v>
      </c>
      <c r="J87" s="1">
        <f t="shared" si="37"/>
        <v>2.6179938779914941E-2</v>
      </c>
      <c r="K87" s="1">
        <f t="shared" si="37"/>
        <v>2.6179938779914941E-2</v>
      </c>
      <c r="L87" s="1">
        <f t="shared" si="37"/>
        <v>2.6179938779914941E-2</v>
      </c>
      <c r="M87" s="1">
        <f t="shared" si="37"/>
        <v>2.6179938779914941E-2</v>
      </c>
      <c r="N87" s="1">
        <f t="shared" si="37"/>
        <v>2.6179938779914941E-2</v>
      </c>
      <c r="O87" s="1">
        <f t="shared" si="37"/>
        <v>2.6179938779914941E-2</v>
      </c>
      <c r="P87" s="1">
        <f t="shared" si="37"/>
        <v>2.6179938779914941E-2</v>
      </c>
      <c r="Q87" s="1">
        <f t="shared" si="37"/>
        <v>2.6179938779914941E-2</v>
      </c>
      <c r="R87" s="1">
        <f t="shared" si="37"/>
        <v>2.6179938779914941E-2</v>
      </c>
      <c r="S87" s="1">
        <f t="shared" si="37"/>
        <v>2.6179938779914941E-2</v>
      </c>
      <c r="T87" s="1">
        <f t="shared" si="37"/>
        <v>2.6179938779914941E-2</v>
      </c>
      <c r="U87" s="1">
        <f t="shared" si="37"/>
        <v>2.6179938779914941E-2</v>
      </c>
      <c r="V87" s="1">
        <f t="shared" si="37"/>
        <v>2.6179938779914941E-2</v>
      </c>
      <c r="W87" s="1">
        <f t="shared" si="37"/>
        <v>2.6179938779914941E-2</v>
      </c>
      <c r="X87" s="1">
        <f t="shared" si="37"/>
        <v>2.6179938779914941E-2</v>
      </c>
      <c r="Y87" s="1">
        <f t="shared" si="37"/>
        <v>2.6179938779914941E-2</v>
      </c>
      <c r="Z87" s="1">
        <f t="shared" si="37"/>
        <v>2.6179938779914941E-2</v>
      </c>
    </row>
    <row r="88" spans="1:26" x14ac:dyDescent="0.2">
      <c r="A88" s="17" t="s">
        <v>206</v>
      </c>
      <c r="B88" s="1">
        <f>('Veh. Parameters'!$E$13+'Veh. Parameters'!$E$14+'Veh. Parameters'!$E$15+'Veh. Parameters'!$E$16)/4</f>
        <v>686.7</v>
      </c>
      <c r="C88" s="1">
        <f t="shared" ref="C88:Z88" si="38">B88</f>
        <v>686.7</v>
      </c>
      <c r="D88" s="1">
        <f t="shared" si="38"/>
        <v>686.7</v>
      </c>
      <c r="E88" s="1">
        <f t="shared" si="38"/>
        <v>686.7</v>
      </c>
      <c r="F88" s="1">
        <f t="shared" si="38"/>
        <v>686.7</v>
      </c>
      <c r="G88" s="1">
        <f t="shared" si="38"/>
        <v>686.7</v>
      </c>
      <c r="H88" s="1">
        <f t="shared" si="38"/>
        <v>686.7</v>
      </c>
      <c r="I88" s="1">
        <f t="shared" si="38"/>
        <v>686.7</v>
      </c>
      <c r="J88" s="1">
        <f t="shared" si="38"/>
        <v>686.7</v>
      </c>
      <c r="K88" s="1">
        <f t="shared" si="38"/>
        <v>686.7</v>
      </c>
      <c r="L88" s="1">
        <f t="shared" si="38"/>
        <v>686.7</v>
      </c>
      <c r="M88" s="1">
        <f t="shared" si="38"/>
        <v>686.7</v>
      </c>
      <c r="N88" s="1">
        <f t="shared" si="38"/>
        <v>686.7</v>
      </c>
      <c r="O88" s="1">
        <f t="shared" si="38"/>
        <v>686.7</v>
      </c>
      <c r="P88" s="1">
        <f t="shared" si="38"/>
        <v>686.7</v>
      </c>
      <c r="Q88" s="1">
        <f t="shared" si="38"/>
        <v>686.7</v>
      </c>
      <c r="R88" s="1">
        <f t="shared" si="38"/>
        <v>686.7</v>
      </c>
      <c r="S88" s="1">
        <f t="shared" si="38"/>
        <v>686.7</v>
      </c>
      <c r="T88" s="1">
        <f t="shared" si="38"/>
        <v>686.7</v>
      </c>
      <c r="U88" s="1">
        <f t="shared" si="38"/>
        <v>686.7</v>
      </c>
      <c r="V88" s="1">
        <f t="shared" si="38"/>
        <v>686.7</v>
      </c>
      <c r="W88" s="1">
        <f t="shared" si="38"/>
        <v>686.7</v>
      </c>
      <c r="X88" s="1">
        <f t="shared" si="38"/>
        <v>686.7</v>
      </c>
      <c r="Y88" s="1">
        <f t="shared" si="38"/>
        <v>686.7</v>
      </c>
      <c r="Z88" s="1">
        <f t="shared" si="38"/>
        <v>686.7</v>
      </c>
    </row>
    <row r="89" spans="1:26" x14ac:dyDescent="0.2">
      <c r="A89" s="17" t="s">
        <v>207</v>
      </c>
      <c r="B89" s="1">
        <f t="shared" ref="B89:Z89" si="39">EXP(B85)/1000</f>
        <v>2.7185536702337533E-3</v>
      </c>
      <c r="C89" s="1">
        <f t="shared" si="39"/>
        <v>3.4387223757496609E-3</v>
      </c>
      <c r="D89" s="1">
        <f t="shared" si="39"/>
        <v>4.3496700863237476E-3</v>
      </c>
      <c r="E89" s="1">
        <f t="shared" si="39"/>
        <v>5.501935833286062E-3</v>
      </c>
      <c r="F89" s="1">
        <f t="shared" si="39"/>
        <v>6.9594468805292487E-3</v>
      </c>
      <c r="G89" s="1">
        <f t="shared" si="39"/>
        <v>8.803065384712214E-3</v>
      </c>
      <c r="H89" s="1">
        <f t="shared" si="39"/>
        <v>1.1135074596851468E-2</v>
      </c>
      <c r="I89" s="1">
        <f t="shared" si="39"/>
        <v>1.4084853498052288E-2</v>
      </c>
      <c r="J89" s="1">
        <f t="shared" si="39"/>
        <v>1.7816054696004481E-2</v>
      </c>
      <c r="K89" s="1">
        <f t="shared" si="39"/>
        <v>2.2535683809200881E-2</v>
      </c>
      <c r="L89" s="1">
        <f t="shared" si="39"/>
        <v>2.8505584059650042E-2</v>
      </c>
      <c r="M89" s="1">
        <f t="shared" si="39"/>
        <v>3.6056963234903885E-2</v>
      </c>
      <c r="N89" s="1">
        <f t="shared" si="39"/>
        <v>4.5608768969709411E-2</v>
      </c>
      <c r="O89" s="1">
        <f t="shared" si="39"/>
        <v>5.7690931800898036E-2</v>
      </c>
      <c r="P89" s="1">
        <f t="shared" si="39"/>
        <v>7.2973765511327185E-2</v>
      </c>
      <c r="Q89" s="1">
        <f t="shared" si="39"/>
        <v>9.2305155882735662E-2</v>
      </c>
      <c r="R89" s="1">
        <f t="shared" si="39"/>
        <v>0.11675760107532886</v>
      </c>
      <c r="S89" s="1">
        <f t="shared" si="39"/>
        <v>0.14768771341640041</v>
      </c>
      <c r="T89" s="1">
        <f t="shared" si="39"/>
        <v>0.18681148373451528</v>
      </c>
      <c r="U89" s="1">
        <f t="shared" si="39"/>
        <v>0.23629948387579044</v>
      </c>
      <c r="V89" s="1">
        <f t="shared" si="39"/>
        <v>0.29889728920154401</v>
      </c>
      <c r="W89" s="1">
        <f t="shared" si="39"/>
        <v>0.37807780206152419</v>
      </c>
      <c r="X89" s="1">
        <f t="shared" si="39"/>
        <v>0.47823392709088069</v>
      </c>
      <c r="Y89" s="1">
        <f t="shared" si="39"/>
        <v>0.60492228788282154</v>
      </c>
      <c r="Z89" s="1">
        <f t="shared" si="39"/>
        <v>0.76517150634494413</v>
      </c>
    </row>
    <row r="90" spans="1:26" x14ac:dyDescent="0.2">
      <c r="A90" s="17" t="s">
        <v>208</v>
      </c>
      <c r="B90" s="1">
        <f t="shared" ref="B90:Z90" si="40">SIN(B87)</f>
        <v>2.6176948307873149E-2</v>
      </c>
      <c r="C90" s="1">
        <f t="shared" si="40"/>
        <v>2.6176948307873149E-2</v>
      </c>
      <c r="D90" s="1">
        <f t="shared" si="40"/>
        <v>2.6176948307873149E-2</v>
      </c>
      <c r="E90" s="1">
        <f t="shared" si="40"/>
        <v>2.6176948307873149E-2</v>
      </c>
      <c r="F90" s="1">
        <f t="shared" si="40"/>
        <v>2.6176948307873149E-2</v>
      </c>
      <c r="G90" s="1">
        <f t="shared" si="40"/>
        <v>2.6176948307873149E-2</v>
      </c>
      <c r="H90" s="1">
        <f t="shared" si="40"/>
        <v>2.6176948307873149E-2</v>
      </c>
      <c r="I90" s="1">
        <f t="shared" si="40"/>
        <v>2.6176948307873149E-2</v>
      </c>
      <c r="J90" s="1">
        <f t="shared" si="40"/>
        <v>2.6176948307873149E-2</v>
      </c>
      <c r="K90" s="1">
        <f t="shared" si="40"/>
        <v>2.6176948307873149E-2</v>
      </c>
      <c r="L90" s="1">
        <f t="shared" si="40"/>
        <v>2.6176948307873149E-2</v>
      </c>
      <c r="M90" s="1">
        <f t="shared" si="40"/>
        <v>2.6176948307873149E-2</v>
      </c>
      <c r="N90" s="1">
        <f t="shared" si="40"/>
        <v>2.6176948307873149E-2</v>
      </c>
      <c r="O90" s="1">
        <f t="shared" si="40"/>
        <v>2.6176948307873149E-2</v>
      </c>
      <c r="P90" s="1">
        <f t="shared" si="40"/>
        <v>2.6176948307873149E-2</v>
      </c>
      <c r="Q90" s="1">
        <f t="shared" si="40"/>
        <v>2.6176948307873149E-2</v>
      </c>
      <c r="R90" s="1">
        <f t="shared" si="40"/>
        <v>2.6176948307873149E-2</v>
      </c>
      <c r="S90" s="1">
        <f t="shared" si="40"/>
        <v>2.6176948307873149E-2</v>
      </c>
      <c r="T90" s="1">
        <f t="shared" si="40"/>
        <v>2.6176948307873149E-2</v>
      </c>
      <c r="U90" s="1">
        <f t="shared" si="40"/>
        <v>2.6176948307873149E-2</v>
      </c>
      <c r="V90" s="1">
        <f t="shared" si="40"/>
        <v>2.6176948307873149E-2</v>
      </c>
      <c r="W90" s="1">
        <f t="shared" si="40"/>
        <v>2.6176948307873149E-2</v>
      </c>
      <c r="X90" s="1">
        <f t="shared" si="40"/>
        <v>2.6176948307873149E-2</v>
      </c>
      <c r="Y90" s="1">
        <f t="shared" si="40"/>
        <v>2.6176948307873149E-2</v>
      </c>
      <c r="Z90" s="1">
        <f t="shared" si="40"/>
        <v>2.6176948307873149E-2</v>
      </c>
    </row>
    <row r="91" spans="1:26" x14ac:dyDescent="0.2">
      <c r="A91" s="17" t="s">
        <v>172</v>
      </c>
      <c r="B91" s="1">
        <v>0</v>
      </c>
      <c r="C91" s="1">
        <f t="shared" ref="C91:Z91" si="41">B91</f>
        <v>0</v>
      </c>
      <c r="D91" s="1">
        <f t="shared" si="41"/>
        <v>0</v>
      </c>
      <c r="E91" s="1">
        <f t="shared" si="41"/>
        <v>0</v>
      </c>
      <c r="F91" s="1">
        <f t="shared" si="41"/>
        <v>0</v>
      </c>
      <c r="G91" s="1">
        <f t="shared" si="41"/>
        <v>0</v>
      </c>
      <c r="H91" s="1">
        <f t="shared" si="41"/>
        <v>0</v>
      </c>
      <c r="I91" s="1">
        <f t="shared" si="41"/>
        <v>0</v>
      </c>
      <c r="J91" s="1">
        <f t="shared" si="41"/>
        <v>0</v>
      </c>
      <c r="K91" s="1">
        <f t="shared" si="41"/>
        <v>0</v>
      </c>
      <c r="L91" s="1">
        <f t="shared" si="41"/>
        <v>0</v>
      </c>
      <c r="M91" s="1">
        <f t="shared" si="41"/>
        <v>0</v>
      </c>
      <c r="N91" s="1">
        <f t="shared" si="41"/>
        <v>0</v>
      </c>
      <c r="O91" s="1">
        <f t="shared" si="41"/>
        <v>0</v>
      </c>
      <c r="P91" s="1">
        <f t="shared" si="41"/>
        <v>0</v>
      </c>
      <c r="Q91" s="1">
        <f t="shared" si="41"/>
        <v>0</v>
      </c>
      <c r="R91" s="1">
        <f t="shared" si="41"/>
        <v>0</v>
      </c>
      <c r="S91" s="1">
        <f t="shared" si="41"/>
        <v>0</v>
      </c>
      <c r="T91" s="1">
        <f t="shared" si="41"/>
        <v>0</v>
      </c>
      <c r="U91" s="1">
        <f t="shared" si="41"/>
        <v>0</v>
      </c>
      <c r="V91" s="1">
        <f t="shared" si="41"/>
        <v>0</v>
      </c>
      <c r="W91" s="1">
        <f t="shared" si="41"/>
        <v>0</v>
      </c>
      <c r="X91" s="1">
        <f t="shared" si="41"/>
        <v>0</v>
      </c>
      <c r="Y91" s="1">
        <f t="shared" si="41"/>
        <v>0</v>
      </c>
      <c r="Z91" s="1">
        <f t="shared" si="41"/>
        <v>0</v>
      </c>
    </row>
    <row r="92" spans="1:26" x14ac:dyDescent="0.2">
      <c r="A92" s="17" t="s">
        <v>175</v>
      </c>
      <c r="B92" s="1">
        <f>'Tyre Char.'!$D$14*'Tyre Char.'!$D$15</f>
        <v>1.25</v>
      </c>
      <c r="C92" s="1">
        <f t="shared" ref="C92:Z92" si="42">B92</f>
        <v>1.25</v>
      </c>
      <c r="D92" s="1">
        <f t="shared" si="42"/>
        <v>1.25</v>
      </c>
      <c r="E92" s="1">
        <f t="shared" si="42"/>
        <v>1.25</v>
      </c>
      <c r="F92" s="1">
        <f t="shared" si="42"/>
        <v>1.25</v>
      </c>
      <c r="G92" s="1">
        <f t="shared" si="42"/>
        <v>1.25</v>
      </c>
      <c r="H92" s="1">
        <f t="shared" si="42"/>
        <v>1.25</v>
      </c>
      <c r="I92" s="1">
        <f t="shared" si="42"/>
        <v>1.25</v>
      </c>
      <c r="J92" s="1">
        <f t="shared" si="42"/>
        <v>1.25</v>
      </c>
      <c r="K92" s="1">
        <f t="shared" si="42"/>
        <v>1.25</v>
      </c>
      <c r="L92" s="1">
        <f t="shared" si="42"/>
        <v>1.25</v>
      </c>
      <c r="M92" s="1">
        <f t="shared" si="42"/>
        <v>1.25</v>
      </c>
      <c r="N92" s="1">
        <f t="shared" si="42"/>
        <v>1.25</v>
      </c>
      <c r="O92" s="1">
        <f t="shared" si="42"/>
        <v>1.25</v>
      </c>
      <c r="P92" s="1">
        <f t="shared" si="42"/>
        <v>1.25</v>
      </c>
      <c r="Q92" s="1">
        <f t="shared" si="42"/>
        <v>1.25</v>
      </c>
      <c r="R92" s="1">
        <f t="shared" si="42"/>
        <v>1.25</v>
      </c>
      <c r="S92" s="1">
        <f t="shared" si="42"/>
        <v>1.25</v>
      </c>
      <c r="T92" s="1">
        <f t="shared" si="42"/>
        <v>1.25</v>
      </c>
      <c r="U92" s="1">
        <f t="shared" si="42"/>
        <v>1.25</v>
      </c>
      <c r="V92" s="1">
        <f t="shared" si="42"/>
        <v>1.25</v>
      </c>
      <c r="W92" s="1">
        <f t="shared" si="42"/>
        <v>1.25</v>
      </c>
      <c r="X92" s="1">
        <f t="shared" si="42"/>
        <v>1.25</v>
      </c>
      <c r="Y92" s="1">
        <f t="shared" si="42"/>
        <v>1.25</v>
      </c>
      <c r="Z92" s="1">
        <f t="shared" si="42"/>
        <v>1.25</v>
      </c>
    </row>
    <row r="93" spans="1:26" x14ac:dyDescent="0.2">
      <c r="A93" s="17" t="s">
        <v>19</v>
      </c>
      <c r="B93" s="6">
        <f>('Tyre Char.'!$D$16+'Tyre Char.'!$D$17*B91)*'Tyre Char.'!$D$18</f>
        <v>1.23</v>
      </c>
      <c r="C93" s="6">
        <f>('Tyre Char.'!$D$16+'Tyre Char.'!$D$17*C91)*'Tyre Char.'!$D$18</f>
        <v>1.23</v>
      </c>
      <c r="D93" s="6">
        <f>('Tyre Char.'!$D$16+'Tyre Char.'!$D$17*D91)*'Tyre Char.'!$D$18</f>
        <v>1.23</v>
      </c>
      <c r="E93" s="6">
        <f>('Tyre Char.'!$D$16+'Tyre Char.'!$D$17*E91)*'Tyre Char.'!$D$18</f>
        <v>1.23</v>
      </c>
      <c r="F93" s="6">
        <f>('Tyre Char.'!$D$16+'Tyre Char.'!$D$17*F91)*'Tyre Char.'!$D$18</f>
        <v>1.23</v>
      </c>
      <c r="G93" s="6">
        <f>('Tyre Char.'!$D$16+'Tyre Char.'!$D$17*G91)*'Tyre Char.'!$D$18</f>
        <v>1.23</v>
      </c>
      <c r="H93" s="6">
        <f>('Tyre Char.'!$D$16+'Tyre Char.'!$D$17*H91)*'Tyre Char.'!$D$18</f>
        <v>1.23</v>
      </c>
      <c r="I93" s="6">
        <f>('Tyre Char.'!$D$16+'Tyre Char.'!$D$17*I91)*'Tyre Char.'!$D$18</f>
        <v>1.23</v>
      </c>
      <c r="J93" s="6">
        <f>('Tyre Char.'!$D$16+'Tyre Char.'!$D$17*J91)*'Tyre Char.'!$D$18</f>
        <v>1.23</v>
      </c>
      <c r="K93" s="6">
        <f>('Tyre Char.'!$D$16+'Tyre Char.'!$D$17*K91)*'Tyre Char.'!$D$18</f>
        <v>1.23</v>
      </c>
      <c r="L93" s="6">
        <f>('Tyre Char.'!$D$16+'Tyre Char.'!$D$17*L91)*'Tyre Char.'!$D$18</f>
        <v>1.23</v>
      </c>
      <c r="M93" s="6">
        <f>('Tyre Char.'!$D$16+'Tyre Char.'!$D$17*M91)*'Tyre Char.'!$D$18</f>
        <v>1.23</v>
      </c>
      <c r="N93" s="6">
        <f>('Tyre Char.'!$D$16+'Tyre Char.'!$D$17*N91)*'Tyre Char.'!$D$18</f>
        <v>1.23</v>
      </c>
      <c r="O93" s="6">
        <f>('Tyre Char.'!$D$16+'Tyre Char.'!$D$17*O91)*'Tyre Char.'!$D$18</f>
        <v>1.23</v>
      </c>
      <c r="P93" s="6">
        <f>('Tyre Char.'!$D$16+'Tyre Char.'!$D$17*P91)*'Tyre Char.'!$D$18</f>
        <v>1.23</v>
      </c>
      <c r="Q93" s="6">
        <f>('Tyre Char.'!$D$16+'Tyre Char.'!$D$17*Q91)*'Tyre Char.'!$D$18</f>
        <v>1.23</v>
      </c>
      <c r="R93" s="6">
        <f>('Tyre Char.'!$D$16+'Tyre Char.'!$D$17*R91)*'Tyre Char.'!$D$18</f>
        <v>1.23</v>
      </c>
      <c r="S93" s="6">
        <f>('Tyre Char.'!$D$16+'Tyre Char.'!$D$17*S91)*'Tyre Char.'!$D$18</f>
        <v>1.23</v>
      </c>
      <c r="T93" s="6">
        <f>('Tyre Char.'!$D$16+'Tyre Char.'!$D$17*T91)*'Tyre Char.'!$D$18</f>
        <v>1.23</v>
      </c>
      <c r="U93" s="6">
        <f>('Tyre Char.'!$D$16+'Tyre Char.'!$D$17*U91)*'Tyre Char.'!$D$18</f>
        <v>1.23</v>
      </c>
      <c r="V93" s="6">
        <f>('Tyre Char.'!$D$16+'Tyre Char.'!$D$17*V91)*'Tyre Char.'!$D$18</f>
        <v>1.23</v>
      </c>
      <c r="W93" s="6">
        <f>('Tyre Char.'!$D$16+'Tyre Char.'!$D$17*W91)*'Tyre Char.'!$D$18</f>
        <v>1.23</v>
      </c>
      <c r="X93" s="6">
        <f>('Tyre Char.'!$D$16+'Tyre Char.'!$D$17*X91)*'Tyre Char.'!$D$18</f>
        <v>1.23</v>
      </c>
      <c r="Y93" s="6">
        <f>('Tyre Char.'!$D$16+'Tyre Char.'!$D$17*Y91)*'Tyre Char.'!$D$18</f>
        <v>1.23</v>
      </c>
      <c r="Z93" s="6">
        <f>('Tyre Char.'!$D$16+'Tyre Char.'!$D$17*Z91)*'Tyre Char.'!$D$18</f>
        <v>1.23</v>
      </c>
    </row>
    <row r="94" spans="1:26" x14ac:dyDescent="0.2">
      <c r="A94" s="17" t="s">
        <v>176</v>
      </c>
      <c r="B94" s="1">
        <f t="shared" ref="B94:Z94" si="43">B93*B88</f>
        <v>844.64100000000008</v>
      </c>
      <c r="C94" s="1">
        <f t="shared" si="43"/>
        <v>844.64100000000008</v>
      </c>
      <c r="D94" s="1">
        <f t="shared" si="43"/>
        <v>844.64100000000008</v>
      </c>
      <c r="E94" s="1">
        <f t="shared" si="43"/>
        <v>844.64100000000008</v>
      </c>
      <c r="F94" s="1">
        <f t="shared" si="43"/>
        <v>844.64100000000008</v>
      </c>
      <c r="G94" s="1">
        <f t="shared" si="43"/>
        <v>844.64100000000008</v>
      </c>
      <c r="H94" s="1">
        <f t="shared" si="43"/>
        <v>844.64100000000008</v>
      </c>
      <c r="I94" s="1">
        <f t="shared" si="43"/>
        <v>844.64100000000008</v>
      </c>
      <c r="J94" s="1">
        <f t="shared" si="43"/>
        <v>844.64100000000008</v>
      </c>
      <c r="K94" s="1">
        <f t="shared" si="43"/>
        <v>844.64100000000008</v>
      </c>
      <c r="L94" s="1">
        <f t="shared" si="43"/>
        <v>844.64100000000008</v>
      </c>
      <c r="M94" s="1">
        <f t="shared" si="43"/>
        <v>844.64100000000008</v>
      </c>
      <c r="N94" s="1">
        <f t="shared" si="43"/>
        <v>844.64100000000008</v>
      </c>
      <c r="O94" s="1">
        <f t="shared" si="43"/>
        <v>844.64100000000008</v>
      </c>
      <c r="P94" s="1">
        <f t="shared" si="43"/>
        <v>844.64100000000008</v>
      </c>
      <c r="Q94" s="1">
        <f t="shared" si="43"/>
        <v>844.64100000000008</v>
      </c>
      <c r="R94" s="1">
        <f t="shared" si="43"/>
        <v>844.64100000000008</v>
      </c>
      <c r="S94" s="1">
        <f t="shared" si="43"/>
        <v>844.64100000000008</v>
      </c>
      <c r="T94" s="1">
        <f t="shared" si="43"/>
        <v>844.64100000000008</v>
      </c>
      <c r="U94" s="1">
        <f t="shared" si="43"/>
        <v>844.64100000000008</v>
      </c>
      <c r="V94" s="1">
        <f t="shared" si="43"/>
        <v>844.64100000000008</v>
      </c>
      <c r="W94" s="1">
        <f t="shared" si="43"/>
        <v>844.64100000000008</v>
      </c>
      <c r="X94" s="1">
        <f t="shared" si="43"/>
        <v>844.64100000000008</v>
      </c>
      <c r="Y94" s="1">
        <f t="shared" si="43"/>
        <v>844.64100000000008</v>
      </c>
      <c r="Z94" s="1">
        <f t="shared" si="43"/>
        <v>844.64100000000008</v>
      </c>
    </row>
    <row r="95" spans="1:26" x14ac:dyDescent="0.2">
      <c r="A95" s="17" t="s">
        <v>177</v>
      </c>
      <c r="B95" s="1">
        <f>B88*('Tyre Char.'!$D$24+'Tyre Char.'!$D$25*B91)*EXP('Tyre Char.'!$D$26*B91)*'Tyre Char.'!$D$27</f>
        <v>10987.2</v>
      </c>
      <c r="C95" s="1">
        <f>C88*('Tyre Char.'!$D$24+'Tyre Char.'!$D$25*C91)*EXP('Tyre Char.'!$D$26*C91)*'Tyre Char.'!$D$27</f>
        <v>10987.2</v>
      </c>
      <c r="D95" s="1">
        <f>D88*('Tyre Char.'!$D$24+'Tyre Char.'!$D$25*D91)*EXP('Tyre Char.'!$D$26*D91)*'Tyre Char.'!$D$27</f>
        <v>10987.2</v>
      </c>
      <c r="E95" s="1">
        <f>E88*('Tyre Char.'!$D$24+'Tyre Char.'!$D$25*E91)*EXP('Tyre Char.'!$D$26*E91)*'Tyre Char.'!$D$27</f>
        <v>10987.2</v>
      </c>
      <c r="F95" s="1">
        <f>F88*('Tyre Char.'!$D$24+'Tyre Char.'!$D$25*F91)*EXP('Tyre Char.'!$D$26*F91)*'Tyre Char.'!$D$27</f>
        <v>10987.2</v>
      </c>
      <c r="G95" s="1">
        <f>G88*('Tyre Char.'!$D$24+'Tyre Char.'!$D$25*G91)*EXP('Tyre Char.'!$D$26*G91)*'Tyre Char.'!$D$27</f>
        <v>10987.2</v>
      </c>
      <c r="H95" s="1">
        <f>H88*('Tyre Char.'!$D$24+'Tyre Char.'!$D$25*H91)*EXP('Tyre Char.'!$D$26*H91)*'Tyre Char.'!$D$27</f>
        <v>10987.2</v>
      </c>
      <c r="I95" s="1">
        <f>I88*('Tyre Char.'!$D$24+'Tyre Char.'!$D$25*I91)*EXP('Tyre Char.'!$D$26*I91)*'Tyre Char.'!$D$27</f>
        <v>10987.2</v>
      </c>
      <c r="J95" s="1">
        <f>J88*('Tyre Char.'!$D$24+'Tyre Char.'!$D$25*J91)*EXP('Tyre Char.'!$D$26*J91)*'Tyre Char.'!$D$27</f>
        <v>10987.2</v>
      </c>
      <c r="K95" s="1">
        <f>K88*('Tyre Char.'!$D$24+'Tyre Char.'!$D$25*K91)*EXP('Tyre Char.'!$D$26*K91)*'Tyre Char.'!$D$27</f>
        <v>10987.2</v>
      </c>
      <c r="L95" s="1">
        <f>L88*('Tyre Char.'!$D$24+'Tyre Char.'!$D$25*L91)*EXP('Tyre Char.'!$D$26*L91)*'Tyre Char.'!$D$27</f>
        <v>10987.2</v>
      </c>
      <c r="M95" s="1">
        <f>M88*('Tyre Char.'!$D$24+'Tyre Char.'!$D$25*M91)*EXP('Tyre Char.'!$D$26*M91)*'Tyre Char.'!$D$27</f>
        <v>10987.2</v>
      </c>
      <c r="N95" s="1">
        <f>N88*('Tyre Char.'!$D$24+'Tyre Char.'!$D$25*N91)*EXP('Tyre Char.'!$D$26*N91)*'Tyre Char.'!$D$27</f>
        <v>10987.2</v>
      </c>
      <c r="O95" s="1">
        <f>O88*('Tyre Char.'!$D$24+'Tyre Char.'!$D$25*O91)*EXP('Tyre Char.'!$D$26*O91)*'Tyre Char.'!$D$27</f>
        <v>10987.2</v>
      </c>
      <c r="P95" s="1">
        <f>P88*('Tyre Char.'!$D$24+'Tyre Char.'!$D$25*P91)*EXP('Tyre Char.'!$D$26*P91)*'Tyre Char.'!$D$27</f>
        <v>10987.2</v>
      </c>
      <c r="Q95" s="1">
        <f>Q88*('Tyre Char.'!$D$24+'Tyre Char.'!$D$25*Q91)*EXP('Tyre Char.'!$D$26*Q91)*'Tyre Char.'!$D$27</f>
        <v>10987.2</v>
      </c>
      <c r="R95" s="1">
        <f>R88*('Tyre Char.'!$D$24+'Tyre Char.'!$D$25*R91)*EXP('Tyre Char.'!$D$26*R91)*'Tyre Char.'!$D$27</f>
        <v>10987.2</v>
      </c>
      <c r="S95" s="1">
        <f>S88*('Tyre Char.'!$D$24+'Tyre Char.'!$D$25*S91)*EXP('Tyre Char.'!$D$26*S91)*'Tyre Char.'!$D$27</f>
        <v>10987.2</v>
      </c>
      <c r="T95" s="1">
        <f>T88*('Tyre Char.'!$D$24+'Tyre Char.'!$D$25*T91)*EXP('Tyre Char.'!$D$26*T91)*'Tyre Char.'!$D$27</f>
        <v>10987.2</v>
      </c>
      <c r="U95" s="1">
        <f>U88*('Tyre Char.'!$D$24+'Tyre Char.'!$D$25*U91)*EXP('Tyre Char.'!$D$26*U91)*'Tyre Char.'!$D$27</f>
        <v>10987.2</v>
      </c>
      <c r="V95" s="1">
        <f>V88*('Tyre Char.'!$D$24+'Tyre Char.'!$D$25*V91)*EXP('Tyre Char.'!$D$26*V91)*'Tyre Char.'!$D$27</f>
        <v>10987.2</v>
      </c>
      <c r="W95" s="1">
        <f>W88*('Tyre Char.'!$D$24+'Tyre Char.'!$D$25*W91)*EXP('Tyre Char.'!$D$26*W91)*'Tyre Char.'!$D$27</f>
        <v>10987.2</v>
      </c>
      <c r="X95" s="1">
        <f>X88*('Tyre Char.'!$D$24+'Tyre Char.'!$D$25*X91)*EXP('Tyre Char.'!$D$26*X91)*'Tyre Char.'!$D$27</f>
        <v>10987.2</v>
      </c>
      <c r="Y95" s="1">
        <f>Y88*('Tyre Char.'!$D$24+'Tyre Char.'!$D$25*Y91)*EXP('Tyre Char.'!$D$26*Y91)*'Tyre Char.'!$D$27</f>
        <v>10987.2</v>
      </c>
      <c r="Z95" s="1">
        <f>Z88*('Tyre Char.'!$D$24+'Tyre Char.'!$D$25*Z91)*EXP('Tyre Char.'!$D$26*Z91)*'Tyre Char.'!$D$27</f>
        <v>10987.2</v>
      </c>
    </row>
    <row r="96" spans="1:26" x14ac:dyDescent="0.2">
      <c r="A96" s="17" t="s">
        <v>178</v>
      </c>
      <c r="B96" s="1">
        <f t="shared" ref="B96:Z96" si="44">B95/(B92*B94)</f>
        <v>10.406504065040652</v>
      </c>
      <c r="C96" s="1">
        <f t="shared" si="44"/>
        <v>10.406504065040652</v>
      </c>
      <c r="D96" s="1">
        <f t="shared" si="44"/>
        <v>10.406504065040652</v>
      </c>
      <c r="E96" s="1">
        <f t="shared" si="44"/>
        <v>10.406504065040652</v>
      </c>
      <c r="F96" s="1">
        <f t="shared" si="44"/>
        <v>10.406504065040652</v>
      </c>
      <c r="G96" s="1">
        <f t="shared" si="44"/>
        <v>10.406504065040652</v>
      </c>
      <c r="H96" s="1">
        <f t="shared" si="44"/>
        <v>10.406504065040652</v>
      </c>
      <c r="I96" s="1">
        <f t="shared" si="44"/>
        <v>10.406504065040652</v>
      </c>
      <c r="J96" s="1">
        <f t="shared" si="44"/>
        <v>10.406504065040652</v>
      </c>
      <c r="K96" s="1">
        <f t="shared" si="44"/>
        <v>10.406504065040652</v>
      </c>
      <c r="L96" s="1">
        <f t="shared" si="44"/>
        <v>10.406504065040652</v>
      </c>
      <c r="M96" s="1">
        <f t="shared" si="44"/>
        <v>10.406504065040652</v>
      </c>
      <c r="N96" s="1">
        <f t="shared" si="44"/>
        <v>10.406504065040652</v>
      </c>
      <c r="O96" s="1">
        <f t="shared" si="44"/>
        <v>10.406504065040652</v>
      </c>
      <c r="P96" s="1">
        <f t="shared" si="44"/>
        <v>10.406504065040652</v>
      </c>
      <c r="Q96" s="1">
        <f t="shared" si="44"/>
        <v>10.406504065040652</v>
      </c>
      <c r="R96" s="1">
        <f t="shared" si="44"/>
        <v>10.406504065040652</v>
      </c>
      <c r="S96" s="1">
        <f t="shared" si="44"/>
        <v>10.406504065040652</v>
      </c>
      <c r="T96" s="1">
        <f t="shared" si="44"/>
        <v>10.406504065040652</v>
      </c>
      <c r="U96" s="1">
        <f t="shared" si="44"/>
        <v>10.406504065040652</v>
      </c>
      <c r="V96" s="1">
        <f t="shared" si="44"/>
        <v>10.406504065040652</v>
      </c>
      <c r="W96" s="1">
        <f t="shared" si="44"/>
        <v>10.406504065040652</v>
      </c>
      <c r="X96" s="1">
        <f t="shared" si="44"/>
        <v>10.406504065040652</v>
      </c>
      <c r="Y96" s="1">
        <f t="shared" si="44"/>
        <v>10.406504065040652</v>
      </c>
      <c r="Z96" s="1">
        <f t="shared" si="44"/>
        <v>10.406504065040652</v>
      </c>
    </row>
    <row r="97" spans="1:26" x14ac:dyDescent="0.2">
      <c r="A97" s="17" t="s">
        <v>209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</row>
    <row r="98" spans="1:26" x14ac:dyDescent="0.2">
      <c r="A98" s="17" t="s">
        <v>173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</row>
    <row r="99" spans="1:26" x14ac:dyDescent="0.2">
      <c r="A99" s="17" t="s">
        <v>179</v>
      </c>
      <c r="B99" s="1">
        <f t="shared" ref="B99:Z99" si="45">B89+B97</f>
        <v>2.7185536702337533E-3</v>
      </c>
      <c r="C99" s="1">
        <f t="shared" si="45"/>
        <v>3.4387223757496609E-3</v>
      </c>
      <c r="D99" s="1">
        <f t="shared" si="45"/>
        <v>4.3496700863237476E-3</v>
      </c>
      <c r="E99" s="1">
        <f t="shared" si="45"/>
        <v>5.501935833286062E-3</v>
      </c>
      <c r="F99" s="1">
        <f t="shared" si="45"/>
        <v>6.9594468805292487E-3</v>
      </c>
      <c r="G99" s="1">
        <f t="shared" si="45"/>
        <v>8.803065384712214E-3</v>
      </c>
      <c r="H99" s="1">
        <f t="shared" si="45"/>
        <v>1.1135074596851468E-2</v>
      </c>
      <c r="I99" s="1">
        <f t="shared" si="45"/>
        <v>1.4084853498052288E-2</v>
      </c>
      <c r="J99" s="1">
        <f t="shared" si="45"/>
        <v>1.7816054696004481E-2</v>
      </c>
      <c r="K99" s="1">
        <f t="shared" si="45"/>
        <v>2.2535683809200881E-2</v>
      </c>
      <c r="L99" s="1">
        <f t="shared" si="45"/>
        <v>2.8505584059650042E-2</v>
      </c>
      <c r="M99" s="1">
        <f t="shared" si="45"/>
        <v>3.6056963234903885E-2</v>
      </c>
      <c r="N99" s="1">
        <f t="shared" si="45"/>
        <v>4.5608768969709411E-2</v>
      </c>
      <c r="O99" s="1">
        <f t="shared" si="45"/>
        <v>5.7690931800898036E-2</v>
      </c>
      <c r="P99" s="1">
        <f t="shared" si="45"/>
        <v>7.2973765511327185E-2</v>
      </c>
      <c r="Q99" s="1">
        <f t="shared" si="45"/>
        <v>9.2305155882735662E-2</v>
      </c>
      <c r="R99" s="1">
        <f t="shared" si="45"/>
        <v>0.11675760107532886</v>
      </c>
      <c r="S99" s="1">
        <f t="shared" si="45"/>
        <v>0.14768771341640041</v>
      </c>
      <c r="T99" s="1">
        <f t="shared" si="45"/>
        <v>0.18681148373451528</v>
      </c>
      <c r="U99" s="1">
        <f t="shared" si="45"/>
        <v>0.23629948387579044</v>
      </c>
      <c r="V99" s="1">
        <f t="shared" si="45"/>
        <v>0.29889728920154401</v>
      </c>
      <c r="W99" s="1">
        <f t="shared" si="45"/>
        <v>0.37807780206152419</v>
      </c>
      <c r="X99" s="1">
        <f t="shared" si="45"/>
        <v>0.47823392709088069</v>
      </c>
      <c r="Y99" s="1">
        <f t="shared" si="45"/>
        <v>0.60492228788282154</v>
      </c>
      <c r="Z99" s="1">
        <f t="shared" si="45"/>
        <v>0.76517150634494413</v>
      </c>
    </row>
    <row r="100" spans="1:26" x14ac:dyDescent="0.2">
      <c r="A100" s="17" t="s">
        <v>180</v>
      </c>
      <c r="B100" s="1">
        <f>('Tyre Char.'!$D$19+'Tyre Char.'!$D$20*B91+'Tyre Char.'!$D$21*B91^2)*(1-'Tyre Char.'!$D$22*SIGN(B99))*'Tyre Char.'!$D$23</f>
        <v>-0.8</v>
      </c>
      <c r="C100" s="1">
        <f>('Tyre Char.'!$D$19+'Tyre Char.'!$D$20*C91+'Tyre Char.'!$D$21*C91^2)*(1-'Tyre Char.'!$D$22*SIGN(C99))*'Tyre Char.'!$D$23</f>
        <v>-0.8</v>
      </c>
      <c r="D100" s="1">
        <f>('Tyre Char.'!$D$19+'Tyre Char.'!$D$20*D91+'Tyre Char.'!$D$21*D91^2)*(1-'Tyre Char.'!$D$22*SIGN(D99))*'Tyre Char.'!$D$23</f>
        <v>-0.8</v>
      </c>
      <c r="E100" s="1">
        <f>('Tyre Char.'!$D$19+'Tyre Char.'!$D$20*E91+'Tyre Char.'!$D$21*E91^2)*(1-'Tyre Char.'!$D$22*SIGN(E99))*'Tyre Char.'!$D$23</f>
        <v>-0.8</v>
      </c>
      <c r="F100" s="1">
        <f>('Tyre Char.'!$D$19+'Tyre Char.'!$D$20*F91+'Tyre Char.'!$D$21*F91^2)*(1-'Tyre Char.'!$D$22*SIGN(F99))*'Tyre Char.'!$D$23</f>
        <v>-0.8</v>
      </c>
      <c r="G100" s="1">
        <f>('Tyre Char.'!$D$19+'Tyre Char.'!$D$20*G91+'Tyre Char.'!$D$21*G91^2)*(1-'Tyre Char.'!$D$22*SIGN(G99))*'Tyre Char.'!$D$23</f>
        <v>-0.8</v>
      </c>
      <c r="H100" s="1">
        <f>('Tyre Char.'!$D$19+'Tyre Char.'!$D$20*H91+'Tyre Char.'!$D$21*H91^2)*(1-'Tyre Char.'!$D$22*SIGN(H99))*'Tyre Char.'!$D$23</f>
        <v>-0.8</v>
      </c>
      <c r="I100" s="1">
        <f>('Tyre Char.'!$D$19+'Tyre Char.'!$D$20*I91+'Tyre Char.'!$D$21*I91^2)*(1-'Tyre Char.'!$D$22*SIGN(I99))*'Tyre Char.'!$D$23</f>
        <v>-0.8</v>
      </c>
      <c r="J100" s="1">
        <f>('Tyre Char.'!$D$19+'Tyre Char.'!$D$20*J91+'Tyre Char.'!$D$21*J91^2)*(1-'Tyre Char.'!$D$22*SIGN(J99))*'Tyre Char.'!$D$23</f>
        <v>-0.8</v>
      </c>
      <c r="K100" s="1">
        <f>('Tyre Char.'!$D$19+'Tyre Char.'!$D$20*K91+'Tyre Char.'!$D$21*K91^2)*(1-'Tyre Char.'!$D$22*SIGN(K99))*'Tyre Char.'!$D$23</f>
        <v>-0.8</v>
      </c>
      <c r="L100" s="1">
        <f>('Tyre Char.'!$D$19+'Tyre Char.'!$D$20*L91+'Tyre Char.'!$D$21*L91^2)*(1-'Tyre Char.'!$D$22*SIGN(L99))*'Tyre Char.'!$D$23</f>
        <v>-0.8</v>
      </c>
      <c r="M100" s="1">
        <f>('Tyre Char.'!$D$19+'Tyre Char.'!$D$20*M91+'Tyre Char.'!$D$21*M91^2)*(1-'Tyre Char.'!$D$22*SIGN(M99))*'Tyre Char.'!$D$23</f>
        <v>-0.8</v>
      </c>
      <c r="N100" s="1">
        <f>('Tyre Char.'!$D$19+'Tyre Char.'!$D$20*N91+'Tyre Char.'!$D$21*N91^2)*(1-'Tyre Char.'!$D$22*SIGN(N99))*'Tyre Char.'!$D$23</f>
        <v>-0.8</v>
      </c>
      <c r="O100" s="1">
        <f>('Tyre Char.'!$D$19+'Tyre Char.'!$D$20*O91+'Tyre Char.'!$D$21*O91^2)*(1-'Tyre Char.'!$D$22*SIGN(O99))*'Tyre Char.'!$D$23</f>
        <v>-0.8</v>
      </c>
      <c r="P100" s="1">
        <f>('Tyre Char.'!$D$19+'Tyre Char.'!$D$20*P91+'Tyre Char.'!$D$21*P91^2)*(1-'Tyre Char.'!$D$22*SIGN(P99))*'Tyre Char.'!$D$23</f>
        <v>-0.8</v>
      </c>
      <c r="Q100" s="1">
        <f>('Tyre Char.'!$D$19+'Tyre Char.'!$D$20*Q91+'Tyre Char.'!$D$21*Q91^2)*(1-'Tyre Char.'!$D$22*SIGN(Q99))*'Tyre Char.'!$D$23</f>
        <v>-0.8</v>
      </c>
      <c r="R100" s="1">
        <f>('Tyre Char.'!$D$19+'Tyre Char.'!$D$20*R91+'Tyre Char.'!$D$21*R91^2)*(1-'Tyre Char.'!$D$22*SIGN(R99))*'Tyre Char.'!$D$23</f>
        <v>-0.8</v>
      </c>
      <c r="S100" s="1">
        <f>('Tyre Char.'!$D$19+'Tyre Char.'!$D$20*S91+'Tyre Char.'!$D$21*S91^2)*(1-'Tyre Char.'!$D$22*SIGN(S99))*'Tyre Char.'!$D$23</f>
        <v>-0.8</v>
      </c>
      <c r="T100" s="1">
        <f>('Tyre Char.'!$D$19+'Tyre Char.'!$D$20*T91+'Tyre Char.'!$D$21*T91^2)*(1-'Tyre Char.'!$D$22*SIGN(T99))*'Tyre Char.'!$D$23</f>
        <v>-0.8</v>
      </c>
      <c r="U100" s="1">
        <f>('Tyre Char.'!$D$19+'Tyre Char.'!$D$20*U91+'Tyre Char.'!$D$21*U91^2)*(1-'Tyre Char.'!$D$22*SIGN(U99))*'Tyre Char.'!$D$23</f>
        <v>-0.8</v>
      </c>
      <c r="V100" s="1">
        <f>('Tyre Char.'!$D$19+'Tyre Char.'!$D$20*V91+'Tyre Char.'!$D$21*V91^2)*(1-'Tyre Char.'!$D$22*SIGN(V99))*'Tyre Char.'!$D$23</f>
        <v>-0.8</v>
      </c>
      <c r="W100" s="1">
        <f>('Tyre Char.'!$D$19+'Tyre Char.'!$D$20*W91+'Tyre Char.'!$D$21*W91^2)*(1-'Tyre Char.'!$D$22*SIGN(W99))*'Tyre Char.'!$D$23</f>
        <v>-0.8</v>
      </c>
      <c r="X100" s="1">
        <f>('Tyre Char.'!$D$19+'Tyre Char.'!$D$20*X91+'Tyre Char.'!$D$21*X91^2)*(1-'Tyre Char.'!$D$22*SIGN(X99))*'Tyre Char.'!$D$23</f>
        <v>-0.8</v>
      </c>
      <c r="Y100" s="1">
        <f>('Tyre Char.'!$D$19+'Tyre Char.'!$D$20*Y91+'Tyre Char.'!$D$21*Y91^2)*(1-'Tyre Char.'!$D$22*SIGN(Y99))*'Tyre Char.'!$D$23</f>
        <v>-0.8</v>
      </c>
      <c r="Z100" s="1">
        <f>('Tyre Char.'!$D$19+'Tyre Char.'!$D$20*Z91+'Tyre Char.'!$D$21*Z91^2)*(1-'Tyre Char.'!$D$22*SIGN(Z99))*'Tyre Char.'!$D$23</f>
        <v>-0.8</v>
      </c>
    </row>
    <row r="101" spans="1:26" x14ac:dyDescent="0.2">
      <c r="A101" s="18" t="s">
        <v>181</v>
      </c>
      <c r="B101" s="1">
        <f t="shared" ref="B101:Z101" si="46">B94*SIN(B92*ATAN(B96*B99-B100*(B96*B99-ATAN(B96*B99))))</f>
        <v>29.861470623647175</v>
      </c>
      <c r="C101" s="1">
        <f t="shared" si="46"/>
        <v>37.766095868177928</v>
      </c>
      <c r="D101" s="1">
        <f t="shared" si="46"/>
        <v>47.758636851072374</v>
      </c>
      <c r="E101" s="1">
        <f t="shared" si="46"/>
        <v>60.385951321253536</v>
      </c>
      <c r="F101" s="1">
        <f t="shared" si="46"/>
        <v>76.333332166966656</v>
      </c>
      <c r="G101" s="1">
        <f t="shared" si="46"/>
        <v>96.454521856712063</v>
      </c>
      <c r="H101" s="1">
        <f t="shared" si="46"/>
        <v>121.80271114315906</v>
      </c>
      <c r="I101" s="1">
        <f t="shared" si="46"/>
        <v>153.65536547490368</v>
      </c>
      <c r="J101" s="1">
        <f t="shared" si="46"/>
        <v>193.51579599937264</v>
      </c>
      <c r="K101" s="1">
        <f t="shared" si="46"/>
        <v>243.05338082000415</v>
      </c>
      <c r="L101" s="1">
        <f t="shared" si="46"/>
        <v>303.90264035958353</v>
      </c>
      <c r="M101" s="1">
        <f t="shared" si="46"/>
        <v>377.1712234033152</v>
      </c>
      <c r="N101" s="1">
        <f t="shared" si="46"/>
        <v>462.44104497864038</v>
      </c>
      <c r="O101" s="1">
        <f t="shared" si="46"/>
        <v>556.18063239559035</v>
      </c>
      <c r="P101" s="1">
        <f t="shared" si="46"/>
        <v>650.28544843519569</v>
      </c>
      <c r="Q101" s="1">
        <f t="shared" si="46"/>
        <v>732.93418706169609</v>
      </c>
      <c r="R101" s="1">
        <f t="shared" si="46"/>
        <v>793.56356483332229</v>
      </c>
      <c r="S101" s="1">
        <f t="shared" si="46"/>
        <v>828.77593618419667</v>
      </c>
      <c r="T101" s="1">
        <f t="shared" si="46"/>
        <v>842.98478542544956</v>
      </c>
      <c r="U101" s="1">
        <f t="shared" si="46"/>
        <v>843.86755392155919</v>
      </c>
      <c r="V101" s="1">
        <f t="shared" si="46"/>
        <v>838.09096119512049</v>
      </c>
      <c r="W101" s="1">
        <f t="shared" si="46"/>
        <v>829.90198202519139</v>
      </c>
      <c r="X101" s="1">
        <f t="shared" si="46"/>
        <v>821.52007830353705</v>
      </c>
      <c r="Y101" s="1">
        <f t="shared" si="46"/>
        <v>813.91687186392789</v>
      </c>
      <c r="Z101" s="1">
        <f t="shared" si="46"/>
        <v>807.41071526212079</v>
      </c>
    </row>
    <row r="102" spans="1:26" x14ac:dyDescent="0.2">
      <c r="A102" s="6"/>
      <c r="J102" s="6"/>
    </row>
    <row r="103" spans="1:26" x14ac:dyDescent="0.2">
      <c r="A103" s="16" t="s">
        <v>203</v>
      </c>
      <c r="B103" s="1">
        <v>1.0001</v>
      </c>
      <c r="C103" s="1">
        <f t="shared" ref="C103:Z103" si="47">B103+$B$6</f>
        <v>1.2351000000000001</v>
      </c>
      <c r="D103" s="1">
        <f t="shared" si="47"/>
        <v>1.4701</v>
      </c>
      <c r="E103" s="1">
        <f t="shared" si="47"/>
        <v>1.7050999999999998</v>
      </c>
      <c r="F103" s="1">
        <f t="shared" si="47"/>
        <v>1.9400999999999997</v>
      </c>
      <c r="G103" s="1">
        <f t="shared" si="47"/>
        <v>2.1750999999999996</v>
      </c>
      <c r="H103" s="1">
        <f t="shared" si="47"/>
        <v>2.4100999999999995</v>
      </c>
      <c r="I103" s="1">
        <f t="shared" si="47"/>
        <v>2.6450999999999993</v>
      </c>
      <c r="J103" s="1">
        <f t="shared" si="47"/>
        <v>2.8800999999999992</v>
      </c>
      <c r="K103" s="1">
        <f t="shared" si="47"/>
        <v>3.1150999999999991</v>
      </c>
      <c r="L103" s="1">
        <f t="shared" si="47"/>
        <v>3.350099999999999</v>
      </c>
      <c r="M103" s="1">
        <f t="shared" si="47"/>
        <v>3.5850999999999988</v>
      </c>
      <c r="N103" s="1">
        <f t="shared" si="47"/>
        <v>3.8200999999999987</v>
      </c>
      <c r="O103" s="1">
        <f t="shared" si="47"/>
        <v>4.0550999999999986</v>
      </c>
      <c r="P103" s="1">
        <f t="shared" si="47"/>
        <v>4.2900999999999989</v>
      </c>
      <c r="Q103" s="1">
        <f t="shared" si="47"/>
        <v>4.5250999999999992</v>
      </c>
      <c r="R103" s="1">
        <f t="shared" si="47"/>
        <v>4.7600999999999996</v>
      </c>
      <c r="S103" s="1">
        <f t="shared" si="47"/>
        <v>4.9950999999999999</v>
      </c>
      <c r="T103" s="1">
        <f t="shared" si="47"/>
        <v>5.2301000000000002</v>
      </c>
      <c r="U103" s="1">
        <f t="shared" si="47"/>
        <v>5.4651000000000005</v>
      </c>
      <c r="V103" s="1">
        <f t="shared" si="47"/>
        <v>5.7001000000000008</v>
      </c>
      <c r="W103" s="1">
        <f t="shared" si="47"/>
        <v>5.9351000000000012</v>
      </c>
      <c r="X103" s="1">
        <f t="shared" si="47"/>
        <v>6.1701000000000015</v>
      </c>
      <c r="Y103" s="1">
        <f t="shared" si="47"/>
        <v>6.4051000000000018</v>
      </c>
      <c r="Z103" s="1">
        <f t="shared" si="47"/>
        <v>6.6401000000000021</v>
      </c>
    </row>
    <row r="104" spans="1:26" x14ac:dyDescent="0.2">
      <c r="A104" s="17" t="s">
        <v>204</v>
      </c>
      <c r="B104" s="1">
        <f>'Tyre Char.'!$D$3</f>
        <v>1.5</v>
      </c>
      <c r="C104" s="1">
        <f>'Tyre Char.'!$D$3</f>
        <v>1.5</v>
      </c>
      <c r="D104" s="1">
        <f>'Tyre Char.'!$D$3</f>
        <v>1.5</v>
      </c>
      <c r="E104" s="1">
        <f>'Tyre Char.'!$D$3</f>
        <v>1.5</v>
      </c>
      <c r="F104" s="1">
        <f>'Tyre Char.'!$D$3</f>
        <v>1.5</v>
      </c>
      <c r="G104" s="1">
        <f>'Tyre Char.'!$D$3</f>
        <v>1.5</v>
      </c>
      <c r="H104" s="1">
        <f>'Tyre Char.'!$D$3</f>
        <v>1.5</v>
      </c>
      <c r="I104" s="1">
        <f>'Tyre Char.'!$D$3</f>
        <v>1.5</v>
      </c>
      <c r="J104" s="1">
        <f>'Tyre Char.'!$D$3</f>
        <v>1.5</v>
      </c>
      <c r="K104" s="1">
        <f>'Tyre Char.'!$D$3</f>
        <v>1.5</v>
      </c>
      <c r="L104" s="1">
        <f>'Tyre Char.'!$D$3</f>
        <v>1.5</v>
      </c>
      <c r="M104" s="1">
        <f>'Tyre Char.'!$D$3</f>
        <v>1.5</v>
      </c>
      <c r="N104" s="1">
        <f>'Tyre Char.'!$D$3</f>
        <v>1.5</v>
      </c>
      <c r="O104" s="1">
        <f>'Tyre Char.'!$D$3</f>
        <v>1.5</v>
      </c>
      <c r="P104" s="1">
        <f>'Tyre Char.'!$D$3</f>
        <v>1.5</v>
      </c>
      <c r="Q104" s="1">
        <f>'Tyre Char.'!$D$3</f>
        <v>1.5</v>
      </c>
      <c r="R104" s="1">
        <f>'Tyre Char.'!$D$3</f>
        <v>1.5</v>
      </c>
      <c r="S104" s="1">
        <f>'Tyre Char.'!$D$3</f>
        <v>1.5</v>
      </c>
      <c r="T104" s="1">
        <f>'Tyre Char.'!$D$3</f>
        <v>1.5</v>
      </c>
      <c r="U104" s="1">
        <f>'Tyre Char.'!$D$3</f>
        <v>1.5</v>
      </c>
      <c r="V104" s="1">
        <f>'Tyre Char.'!$D$3</f>
        <v>1.5</v>
      </c>
      <c r="W104" s="1">
        <f>'Tyre Char.'!$D$3</f>
        <v>1.5</v>
      </c>
      <c r="X104" s="1">
        <f>'Tyre Char.'!$D$3</f>
        <v>1.5</v>
      </c>
      <c r="Y104" s="1">
        <f>'Tyre Char.'!$D$3</f>
        <v>1.5</v>
      </c>
      <c r="Z104" s="1">
        <f>'Tyre Char.'!$D$3</f>
        <v>1.5</v>
      </c>
    </row>
    <row r="105" spans="1:26" x14ac:dyDescent="0.2">
      <c r="A105" s="17" t="s">
        <v>205</v>
      </c>
      <c r="B105" s="1">
        <f t="shared" ref="B105:Z105" si="48">B104/180*PI()</f>
        <v>2.6179938779914941E-2</v>
      </c>
      <c r="C105" s="1">
        <f t="shared" si="48"/>
        <v>2.6179938779914941E-2</v>
      </c>
      <c r="D105" s="1">
        <f t="shared" si="48"/>
        <v>2.6179938779914941E-2</v>
      </c>
      <c r="E105" s="1">
        <f t="shared" si="48"/>
        <v>2.6179938779914941E-2</v>
      </c>
      <c r="F105" s="1">
        <f t="shared" si="48"/>
        <v>2.6179938779914941E-2</v>
      </c>
      <c r="G105" s="1">
        <f t="shared" si="48"/>
        <v>2.6179938779914941E-2</v>
      </c>
      <c r="H105" s="1">
        <f t="shared" si="48"/>
        <v>2.6179938779914941E-2</v>
      </c>
      <c r="I105" s="1">
        <f t="shared" si="48"/>
        <v>2.6179938779914941E-2</v>
      </c>
      <c r="J105" s="1">
        <f t="shared" si="48"/>
        <v>2.6179938779914941E-2</v>
      </c>
      <c r="K105" s="1">
        <f t="shared" si="48"/>
        <v>2.6179938779914941E-2</v>
      </c>
      <c r="L105" s="1">
        <f t="shared" si="48"/>
        <v>2.6179938779914941E-2</v>
      </c>
      <c r="M105" s="1">
        <f t="shared" si="48"/>
        <v>2.6179938779914941E-2</v>
      </c>
      <c r="N105" s="1">
        <f t="shared" si="48"/>
        <v>2.6179938779914941E-2</v>
      </c>
      <c r="O105" s="1">
        <f t="shared" si="48"/>
        <v>2.6179938779914941E-2</v>
      </c>
      <c r="P105" s="1">
        <f t="shared" si="48"/>
        <v>2.6179938779914941E-2</v>
      </c>
      <c r="Q105" s="1">
        <f t="shared" si="48"/>
        <v>2.6179938779914941E-2</v>
      </c>
      <c r="R105" s="1">
        <f t="shared" si="48"/>
        <v>2.6179938779914941E-2</v>
      </c>
      <c r="S105" s="1">
        <f t="shared" si="48"/>
        <v>2.6179938779914941E-2</v>
      </c>
      <c r="T105" s="1">
        <f t="shared" si="48"/>
        <v>2.6179938779914941E-2</v>
      </c>
      <c r="U105" s="1">
        <f t="shared" si="48"/>
        <v>2.6179938779914941E-2</v>
      </c>
      <c r="V105" s="1">
        <f t="shared" si="48"/>
        <v>2.6179938779914941E-2</v>
      </c>
      <c r="W105" s="1">
        <f t="shared" si="48"/>
        <v>2.6179938779914941E-2</v>
      </c>
      <c r="X105" s="1">
        <f t="shared" si="48"/>
        <v>2.6179938779914941E-2</v>
      </c>
      <c r="Y105" s="1">
        <f t="shared" si="48"/>
        <v>2.6179938779914941E-2</v>
      </c>
      <c r="Z105" s="1">
        <f t="shared" si="48"/>
        <v>2.6179938779914941E-2</v>
      </c>
    </row>
    <row r="106" spans="1:26" x14ac:dyDescent="0.2">
      <c r="A106" s="17" t="s">
        <v>206</v>
      </c>
      <c r="B106" s="9">
        <f>$C$12</f>
        <v>988.45997650416007</v>
      </c>
      <c r="C106" s="1">
        <f t="shared" ref="C106:Z106" si="49">B106</f>
        <v>988.45997650416007</v>
      </c>
      <c r="D106" s="1">
        <f t="shared" si="49"/>
        <v>988.45997650416007</v>
      </c>
      <c r="E106" s="1">
        <f t="shared" si="49"/>
        <v>988.45997650416007</v>
      </c>
      <c r="F106" s="1">
        <f t="shared" si="49"/>
        <v>988.45997650416007</v>
      </c>
      <c r="G106" s="1">
        <f t="shared" si="49"/>
        <v>988.45997650416007</v>
      </c>
      <c r="H106" s="1">
        <f t="shared" si="49"/>
        <v>988.45997650416007</v>
      </c>
      <c r="I106" s="1">
        <f t="shared" si="49"/>
        <v>988.45997650416007</v>
      </c>
      <c r="J106" s="1">
        <f t="shared" si="49"/>
        <v>988.45997650416007</v>
      </c>
      <c r="K106" s="1">
        <f t="shared" si="49"/>
        <v>988.45997650416007</v>
      </c>
      <c r="L106" s="1">
        <f t="shared" si="49"/>
        <v>988.45997650416007</v>
      </c>
      <c r="M106" s="1">
        <f t="shared" si="49"/>
        <v>988.45997650416007</v>
      </c>
      <c r="N106" s="1">
        <f t="shared" si="49"/>
        <v>988.45997650416007</v>
      </c>
      <c r="O106" s="1">
        <f t="shared" si="49"/>
        <v>988.45997650416007</v>
      </c>
      <c r="P106" s="1">
        <f t="shared" si="49"/>
        <v>988.45997650416007</v>
      </c>
      <c r="Q106" s="1">
        <f t="shared" si="49"/>
        <v>988.45997650416007</v>
      </c>
      <c r="R106" s="1">
        <f t="shared" si="49"/>
        <v>988.45997650416007</v>
      </c>
      <c r="S106" s="1">
        <f t="shared" si="49"/>
        <v>988.45997650416007</v>
      </c>
      <c r="T106" s="1">
        <f t="shared" si="49"/>
        <v>988.45997650416007</v>
      </c>
      <c r="U106" s="1">
        <f t="shared" si="49"/>
        <v>988.45997650416007</v>
      </c>
      <c r="V106" s="1">
        <f t="shared" si="49"/>
        <v>988.45997650416007</v>
      </c>
      <c r="W106" s="1">
        <f t="shared" si="49"/>
        <v>988.45997650416007</v>
      </c>
      <c r="X106" s="1">
        <f t="shared" si="49"/>
        <v>988.45997650416007</v>
      </c>
      <c r="Y106" s="1">
        <f t="shared" si="49"/>
        <v>988.45997650416007</v>
      </c>
      <c r="Z106" s="1">
        <f t="shared" si="49"/>
        <v>988.45997650416007</v>
      </c>
    </row>
    <row r="107" spans="1:26" x14ac:dyDescent="0.2">
      <c r="A107" s="17" t="s">
        <v>207</v>
      </c>
      <c r="B107" s="1">
        <f t="shared" ref="B107:Z107" si="50">EXP(B103)/1000</f>
        <v>2.7185536702337533E-3</v>
      </c>
      <c r="C107" s="1">
        <f t="shared" si="50"/>
        <v>3.4387223757496609E-3</v>
      </c>
      <c r="D107" s="1">
        <f t="shared" si="50"/>
        <v>4.3496700863237476E-3</v>
      </c>
      <c r="E107" s="1">
        <f t="shared" si="50"/>
        <v>5.501935833286062E-3</v>
      </c>
      <c r="F107" s="1">
        <f t="shared" si="50"/>
        <v>6.9594468805292487E-3</v>
      </c>
      <c r="G107" s="1">
        <f t="shared" si="50"/>
        <v>8.803065384712214E-3</v>
      </c>
      <c r="H107" s="1">
        <f t="shared" si="50"/>
        <v>1.1135074596851468E-2</v>
      </c>
      <c r="I107" s="1">
        <f t="shared" si="50"/>
        <v>1.4084853498052288E-2</v>
      </c>
      <c r="J107" s="1">
        <f t="shared" si="50"/>
        <v>1.7816054696004481E-2</v>
      </c>
      <c r="K107" s="1">
        <f t="shared" si="50"/>
        <v>2.2535683809200881E-2</v>
      </c>
      <c r="L107" s="1">
        <f t="shared" si="50"/>
        <v>2.8505584059650042E-2</v>
      </c>
      <c r="M107" s="1">
        <f t="shared" si="50"/>
        <v>3.6056963234903885E-2</v>
      </c>
      <c r="N107" s="1">
        <f t="shared" si="50"/>
        <v>4.5608768969709411E-2</v>
      </c>
      <c r="O107" s="1">
        <f t="shared" si="50"/>
        <v>5.7690931800898036E-2</v>
      </c>
      <c r="P107" s="1">
        <f t="shared" si="50"/>
        <v>7.2973765511327185E-2</v>
      </c>
      <c r="Q107" s="1">
        <f t="shared" si="50"/>
        <v>9.2305155882735662E-2</v>
      </c>
      <c r="R107" s="1">
        <f t="shared" si="50"/>
        <v>0.11675760107532886</v>
      </c>
      <c r="S107" s="1">
        <f t="shared" si="50"/>
        <v>0.14768771341640041</v>
      </c>
      <c r="T107" s="1">
        <f t="shared" si="50"/>
        <v>0.18681148373451528</v>
      </c>
      <c r="U107" s="1">
        <f t="shared" si="50"/>
        <v>0.23629948387579044</v>
      </c>
      <c r="V107" s="1">
        <f t="shared" si="50"/>
        <v>0.29889728920154401</v>
      </c>
      <c r="W107" s="1">
        <f t="shared" si="50"/>
        <v>0.37807780206152419</v>
      </c>
      <c r="X107" s="1">
        <f t="shared" si="50"/>
        <v>0.47823392709088069</v>
      </c>
      <c r="Y107" s="1">
        <f t="shared" si="50"/>
        <v>0.60492228788282154</v>
      </c>
      <c r="Z107" s="1">
        <f t="shared" si="50"/>
        <v>0.76517150634494413</v>
      </c>
    </row>
    <row r="108" spans="1:26" x14ac:dyDescent="0.2">
      <c r="A108" s="17" t="s">
        <v>208</v>
      </c>
      <c r="B108" s="1">
        <f t="shared" ref="B108:Z108" si="51">SIN(B105)</f>
        <v>2.6176948307873149E-2</v>
      </c>
      <c r="C108" s="1">
        <f t="shared" si="51"/>
        <v>2.6176948307873149E-2</v>
      </c>
      <c r="D108" s="1">
        <f t="shared" si="51"/>
        <v>2.6176948307873149E-2</v>
      </c>
      <c r="E108" s="1">
        <f t="shared" si="51"/>
        <v>2.6176948307873149E-2</v>
      </c>
      <c r="F108" s="1">
        <f t="shared" si="51"/>
        <v>2.6176948307873149E-2</v>
      </c>
      <c r="G108" s="1">
        <f t="shared" si="51"/>
        <v>2.6176948307873149E-2</v>
      </c>
      <c r="H108" s="1">
        <f t="shared" si="51"/>
        <v>2.6176948307873149E-2</v>
      </c>
      <c r="I108" s="1">
        <f t="shared" si="51"/>
        <v>2.6176948307873149E-2</v>
      </c>
      <c r="J108" s="1">
        <f t="shared" si="51"/>
        <v>2.6176948307873149E-2</v>
      </c>
      <c r="K108" s="1">
        <f t="shared" si="51"/>
        <v>2.6176948307873149E-2</v>
      </c>
      <c r="L108" s="1">
        <f t="shared" si="51"/>
        <v>2.6176948307873149E-2</v>
      </c>
      <c r="M108" s="1">
        <f t="shared" si="51"/>
        <v>2.6176948307873149E-2</v>
      </c>
      <c r="N108" s="1">
        <f t="shared" si="51"/>
        <v>2.6176948307873149E-2</v>
      </c>
      <c r="O108" s="1">
        <f t="shared" si="51"/>
        <v>2.6176948307873149E-2</v>
      </c>
      <c r="P108" s="1">
        <f t="shared" si="51"/>
        <v>2.6176948307873149E-2</v>
      </c>
      <c r="Q108" s="1">
        <f t="shared" si="51"/>
        <v>2.6176948307873149E-2</v>
      </c>
      <c r="R108" s="1">
        <f t="shared" si="51"/>
        <v>2.6176948307873149E-2</v>
      </c>
      <c r="S108" s="1">
        <f t="shared" si="51"/>
        <v>2.6176948307873149E-2</v>
      </c>
      <c r="T108" s="1">
        <f t="shared" si="51"/>
        <v>2.6176948307873149E-2</v>
      </c>
      <c r="U108" s="1">
        <f t="shared" si="51"/>
        <v>2.6176948307873149E-2</v>
      </c>
      <c r="V108" s="1">
        <f t="shared" si="51"/>
        <v>2.6176948307873149E-2</v>
      </c>
      <c r="W108" s="1">
        <f t="shared" si="51"/>
        <v>2.6176948307873149E-2</v>
      </c>
      <c r="X108" s="1">
        <f t="shared" si="51"/>
        <v>2.6176948307873149E-2</v>
      </c>
      <c r="Y108" s="1">
        <f t="shared" si="51"/>
        <v>2.6176948307873149E-2</v>
      </c>
      <c r="Z108" s="1">
        <f t="shared" si="51"/>
        <v>2.6176948307873149E-2</v>
      </c>
    </row>
    <row r="109" spans="1:26" x14ac:dyDescent="0.2">
      <c r="A109" s="17" t="s">
        <v>172</v>
      </c>
      <c r="B109" s="1">
        <v>0</v>
      </c>
      <c r="C109" s="1">
        <f t="shared" ref="C109:Z109" si="52">B109</f>
        <v>0</v>
      </c>
      <c r="D109" s="1">
        <f t="shared" si="52"/>
        <v>0</v>
      </c>
      <c r="E109" s="1">
        <f t="shared" si="52"/>
        <v>0</v>
      </c>
      <c r="F109" s="1">
        <f t="shared" si="52"/>
        <v>0</v>
      </c>
      <c r="G109" s="1">
        <f t="shared" si="52"/>
        <v>0</v>
      </c>
      <c r="H109" s="1">
        <f t="shared" si="52"/>
        <v>0</v>
      </c>
      <c r="I109" s="1">
        <f t="shared" si="52"/>
        <v>0</v>
      </c>
      <c r="J109" s="1">
        <f t="shared" si="52"/>
        <v>0</v>
      </c>
      <c r="K109" s="1">
        <f t="shared" si="52"/>
        <v>0</v>
      </c>
      <c r="L109" s="1">
        <f t="shared" si="52"/>
        <v>0</v>
      </c>
      <c r="M109" s="1">
        <f t="shared" si="52"/>
        <v>0</v>
      </c>
      <c r="N109" s="1">
        <f t="shared" si="52"/>
        <v>0</v>
      </c>
      <c r="O109" s="1">
        <f t="shared" si="52"/>
        <v>0</v>
      </c>
      <c r="P109" s="1">
        <f t="shared" si="52"/>
        <v>0</v>
      </c>
      <c r="Q109" s="1">
        <f t="shared" si="52"/>
        <v>0</v>
      </c>
      <c r="R109" s="1">
        <f t="shared" si="52"/>
        <v>0</v>
      </c>
      <c r="S109" s="1">
        <f t="shared" si="52"/>
        <v>0</v>
      </c>
      <c r="T109" s="1">
        <f t="shared" si="52"/>
        <v>0</v>
      </c>
      <c r="U109" s="1">
        <f t="shared" si="52"/>
        <v>0</v>
      </c>
      <c r="V109" s="1">
        <f t="shared" si="52"/>
        <v>0</v>
      </c>
      <c r="W109" s="1">
        <f t="shared" si="52"/>
        <v>0</v>
      </c>
      <c r="X109" s="1">
        <f t="shared" si="52"/>
        <v>0</v>
      </c>
      <c r="Y109" s="1">
        <f t="shared" si="52"/>
        <v>0</v>
      </c>
      <c r="Z109" s="1">
        <f t="shared" si="52"/>
        <v>0</v>
      </c>
    </row>
    <row r="110" spans="1:26" x14ac:dyDescent="0.2">
      <c r="A110" s="17" t="s">
        <v>175</v>
      </c>
      <c r="B110" s="1">
        <f>'Tyre Char.'!$D$14*'Tyre Char.'!$D$15</f>
        <v>1.25</v>
      </c>
      <c r="C110" s="1">
        <f t="shared" ref="C110:Z110" si="53">B110</f>
        <v>1.25</v>
      </c>
      <c r="D110" s="1">
        <f t="shared" si="53"/>
        <v>1.25</v>
      </c>
      <c r="E110" s="1">
        <f t="shared" si="53"/>
        <v>1.25</v>
      </c>
      <c r="F110" s="1">
        <f t="shared" si="53"/>
        <v>1.25</v>
      </c>
      <c r="G110" s="1">
        <f t="shared" si="53"/>
        <v>1.25</v>
      </c>
      <c r="H110" s="1">
        <f t="shared" si="53"/>
        <v>1.25</v>
      </c>
      <c r="I110" s="1">
        <f t="shared" si="53"/>
        <v>1.25</v>
      </c>
      <c r="J110" s="1">
        <f t="shared" si="53"/>
        <v>1.25</v>
      </c>
      <c r="K110" s="1">
        <f t="shared" si="53"/>
        <v>1.25</v>
      </c>
      <c r="L110" s="1">
        <f t="shared" si="53"/>
        <v>1.25</v>
      </c>
      <c r="M110" s="1">
        <f t="shared" si="53"/>
        <v>1.25</v>
      </c>
      <c r="N110" s="1">
        <f t="shared" si="53"/>
        <v>1.25</v>
      </c>
      <c r="O110" s="1">
        <f t="shared" si="53"/>
        <v>1.25</v>
      </c>
      <c r="P110" s="1">
        <f t="shared" si="53"/>
        <v>1.25</v>
      </c>
      <c r="Q110" s="1">
        <f t="shared" si="53"/>
        <v>1.25</v>
      </c>
      <c r="R110" s="1">
        <f t="shared" si="53"/>
        <v>1.25</v>
      </c>
      <c r="S110" s="1">
        <f t="shared" si="53"/>
        <v>1.25</v>
      </c>
      <c r="T110" s="1">
        <f t="shared" si="53"/>
        <v>1.25</v>
      </c>
      <c r="U110" s="1">
        <f t="shared" si="53"/>
        <v>1.25</v>
      </c>
      <c r="V110" s="1">
        <f t="shared" si="53"/>
        <v>1.25</v>
      </c>
      <c r="W110" s="1">
        <f t="shared" si="53"/>
        <v>1.25</v>
      </c>
      <c r="X110" s="1">
        <f t="shared" si="53"/>
        <v>1.25</v>
      </c>
      <c r="Y110" s="1">
        <f t="shared" si="53"/>
        <v>1.25</v>
      </c>
      <c r="Z110" s="1">
        <f t="shared" si="53"/>
        <v>1.25</v>
      </c>
    </row>
    <row r="111" spans="1:26" x14ac:dyDescent="0.2">
      <c r="A111" s="17" t="s">
        <v>19</v>
      </c>
      <c r="B111" s="6">
        <f>('Tyre Char.'!$D$16+'Tyre Char.'!$D$17*B109)*'Tyre Char.'!$D$18</f>
        <v>1.23</v>
      </c>
      <c r="C111" s="6">
        <f>('Tyre Char.'!$D$16+'Tyre Char.'!$D$17*C109)*'Tyre Char.'!$D$18</f>
        <v>1.23</v>
      </c>
      <c r="D111" s="6">
        <f>('Tyre Char.'!$D$16+'Tyre Char.'!$D$17*D109)*'Tyre Char.'!$D$18</f>
        <v>1.23</v>
      </c>
      <c r="E111" s="6">
        <f>('Tyre Char.'!$D$16+'Tyre Char.'!$D$17*E109)*'Tyre Char.'!$D$18</f>
        <v>1.23</v>
      </c>
      <c r="F111" s="6">
        <f>('Tyre Char.'!$D$16+'Tyre Char.'!$D$17*F109)*'Tyre Char.'!$D$18</f>
        <v>1.23</v>
      </c>
      <c r="G111" s="6">
        <f>('Tyre Char.'!$D$16+'Tyre Char.'!$D$17*G109)*'Tyre Char.'!$D$18</f>
        <v>1.23</v>
      </c>
      <c r="H111" s="6">
        <f>('Tyre Char.'!$D$16+'Tyre Char.'!$D$17*H109)*'Tyre Char.'!$D$18</f>
        <v>1.23</v>
      </c>
      <c r="I111" s="6">
        <f>('Tyre Char.'!$D$16+'Tyre Char.'!$D$17*I109)*'Tyre Char.'!$D$18</f>
        <v>1.23</v>
      </c>
      <c r="J111" s="6">
        <f>('Tyre Char.'!$D$16+'Tyre Char.'!$D$17*J109)*'Tyre Char.'!$D$18</f>
        <v>1.23</v>
      </c>
      <c r="K111" s="6">
        <f>('Tyre Char.'!$D$16+'Tyre Char.'!$D$17*K109)*'Tyre Char.'!$D$18</f>
        <v>1.23</v>
      </c>
      <c r="L111" s="6">
        <f>('Tyre Char.'!$D$16+'Tyre Char.'!$D$17*L109)*'Tyre Char.'!$D$18</f>
        <v>1.23</v>
      </c>
      <c r="M111" s="6">
        <f>('Tyre Char.'!$D$16+'Tyre Char.'!$D$17*M109)*'Tyre Char.'!$D$18</f>
        <v>1.23</v>
      </c>
      <c r="N111" s="6">
        <f>('Tyre Char.'!$D$16+'Tyre Char.'!$D$17*N109)*'Tyre Char.'!$D$18</f>
        <v>1.23</v>
      </c>
      <c r="O111" s="6">
        <f>('Tyre Char.'!$D$16+'Tyre Char.'!$D$17*O109)*'Tyre Char.'!$D$18</f>
        <v>1.23</v>
      </c>
      <c r="P111" s="6">
        <f>('Tyre Char.'!$D$16+'Tyre Char.'!$D$17*P109)*'Tyre Char.'!$D$18</f>
        <v>1.23</v>
      </c>
      <c r="Q111" s="6">
        <f>('Tyre Char.'!$D$16+'Tyre Char.'!$D$17*Q109)*'Tyre Char.'!$D$18</f>
        <v>1.23</v>
      </c>
      <c r="R111" s="6">
        <f>('Tyre Char.'!$D$16+'Tyre Char.'!$D$17*R109)*'Tyre Char.'!$D$18</f>
        <v>1.23</v>
      </c>
      <c r="S111" s="6">
        <f>('Tyre Char.'!$D$16+'Tyre Char.'!$D$17*S109)*'Tyre Char.'!$D$18</f>
        <v>1.23</v>
      </c>
      <c r="T111" s="6">
        <f>('Tyre Char.'!$D$16+'Tyre Char.'!$D$17*T109)*'Tyre Char.'!$D$18</f>
        <v>1.23</v>
      </c>
      <c r="U111" s="6">
        <f>('Tyre Char.'!$D$16+'Tyre Char.'!$D$17*U109)*'Tyre Char.'!$D$18</f>
        <v>1.23</v>
      </c>
      <c r="V111" s="6">
        <f>('Tyre Char.'!$D$16+'Tyre Char.'!$D$17*V109)*'Tyre Char.'!$D$18</f>
        <v>1.23</v>
      </c>
      <c r="W111" s="6">
        <f>('Tyre Char.'!$D$16+'Tyre Char.'!$D$17*W109)*'Tyre Char.'!$D$18</f>
        <v>1.23</v>
      </c>
      <c r="X111" s="6">
        <f>('Tyre Char.'!$D$16+'Tyre Char.'!$D$17*X109)*'Tyre Char.'!$D$18</f>
        <v>1.23</v>
      </c>
      <c r="Y111" s="6">
        <f>('Tyre Char.'!$D$16+'Tyre Char.'!$D$17*Y109)*'Tyre Char.'!$D$18</f>
        <v>1.23</v>
      </c>
      <c r="Z111" s="6">
        <f>('Tyre Char.'!$D$16+'Tyre Char.'!$D$17*Z109)*'Tyre Char.'!$D$18</f>
        <v>1.23</v>
      </c>
    </row>
    <row r="112" spans="1:26" x14ac:dyDescent="0.2">
      <c r="A112" s="17" t="s">
        <v>176</v>
      </c>
      <c r="B112" s="1">
        <f t="shared" ref="B112:Z112" si="54">B111*B106</f>
        <v>1215.8057711001168</v>
      </c>
      <c r="C112" s="1">
        <f t="shared" si="54"/>
        <v>1215.8057711001168</v>
      </c>
      <c r="D112" s="1">
        <f t="shared" si="54"/>
        <v>1215.8057711001168</v>
      </c>
      <c r="E112" s="1">
        <f t="shared" si="54"/>
        <v>1215.8057711001168</v>
      </c>
      <c r="F112" s="1">
        <f t="shared" si="54"/>
        <v>1215.8057711001168</v>
      </c>
      <c r="G112" s="1">
        <f t="shared" si="54"/>
        <v>1215.8057711001168</v>
      </c>
      <c r="H112" s="1">
        <f t="shared" si="54"/>
        <v>1215.8057711001168</v>
      </c>
      <c r="I112" s="1">
        <f t="shared" si="54"/>
        <v>1215.8057711001168</v>
      </c>
      <c r="J112" s="1">
        <f t="shared" si="54"/>
        <v>1215.8057711001168</v>
      </c>
      <c r="K112" s="1">
        <f t="shared" si="54"/>
        <v>1215.8057711001168</v>
      </c>
      <c r="L112" s="1">
        <f t="shared" si="54"/>
        <v>1215.8057711001168</v>
      </c>
      <c r="M112" s="1">
        <f t="shared" si="54"/>
        <v>1215.8057711001168</v>
      </c>
      <c r="N112" s="1">
        <f t="shared" si="54"/>
        <v>1215.8057711001168</v>
      </c>
      <c r="O112" s="1">
        <f t="shared" si="54"/>
        <v>1215.8057711001168</v>
      </c>
      <c r="P112" s="1">
        <f t="shared" si="54"/>
        <v>1215.8057711001168</v>
      </c>
      <c r="Q112" s="1">
        <f t="shared" si="54"/>
        <v>1215.8057711001168</v>
      </c>
      <c r="R112" s="1">
        <f t="shared" si="54"/>
        <v>1215.8057711001168</v>
      </c>
      <c r="S112" s="1">
        <f t="shared" si="54"/>
        <v>1215.8057711001168</v>
      </c>
      <c r="T112" s="1">
        <f t="shared" si="54"/>
        <v>1215.8057711001168</v>
      </c>
      <c r="U112" s="1">
        <f t="shared" si="54"/>
        <v>1215.8057711001168</v>
      </c>
      <c r="V112" s="1">
        <f t="shared" si="54"/>
        <v>1215.8057711001168</v>
      </c>
      <c r="W112" s="1">
        <f t="shared" si="54"/>
        <v>1215.8057711001168</v>
      </c>
      <c r="X112" s="1">
        <f t="shared" si="54"/>
        <v>1215.8057711001168</v>
      </c>
      <c r="Y112" s="1">
        <f t="shared" si="54"/>
        <v>1215.8057711001168</v>
      </c>
      <c r="Z112" s="1">
        <f t="shared" si="54"/>
        <v>1215.8057711001168</v>
      </c>
    </row>
    <row r="113" spans="1:26" x14ac:dyDescent="0.2">
      <c r="A113" s="17" t="s">
        <v>177</v>
      </c>
      <c r="B113" s="1">
        <f>B106*('Tyre Char.'!$D$24+'Tyre Char.'!$D$25*B109)*EXP('Tyre Char.'!$D$26*B109)*'Tyre Char.'!$D$27</f>
        <v>15815.359624066561</v>
      </c>
      <c r="C113" s="1">
        <f>C106*('Tyre Char.'!$D$24+'Tyre Char.'!$D$25*C109)*EXP('Tyre Char.'!$D$26*C109)*'Tyre Char.'!$D$27</f>
        <v>15815.359624066561</v>
      </c>
      <c r="D113" s="1">
        <f>D106*('Tyre Char.'!$D$24+'Tyre Char.'!$D$25*D109)*EXP('Tyre Char.'!$D$26*D109)*'Tyre Char.'!$D$27</f>
        <v>15815.359624066561</v>
      </c>
      <c r="E113" s="1">
        <f>E106*('Tyre Char.'!$D$24+'Tyre Char.'!$D$25*E109)*EXP('Tyre Char.'!$D$26*E109)*'Tyre Char.'!$D$27</f>
        <v>15815.359624066561</v>
      </c>
      <c r="F113" s="1">
        <f>F106*('Tyre Char.'!$D$24+'Tyre Char.'!$D$25*F109)*EXP('Tyre Char.'!$D$26*F109)*'Tyre Char.'!$D$27</f>
        <v>15815.359624066561</v>
      </c>
      <c r="G113" s="1">
        <f>G106*('Tyre Char.'!$D$24+'Tyre Char.'!$D$25*G109)*EXP('Tyre Char.'!$D$26*G109)*'Tyre Char.'!$D$27</f>
        <v>15815.359624066561</v>
      </c>
      <c r="H113" s="1">
        <f>H106*('Tyre Char.'!$D$24+'Tyre Char.'!$D$25*H109)*EXP('Tyre Char.'!$D$26*H109)*'Tyre Char.'!$D$27</f>
        <v>15815.359624066561</v>
      </c>
      <c r="I113" s="1">
        <f>I106*('Tyre Char.'!$D$24+'Tyre Char.'!$D$25*I109)*EXP('Tyre Char.'!$D$26*I109)*'Tyre Char.'!$D$27</f>
        <v>15815.359624066561</v>
      </c>
      <c r="J113" s="1">
        <f>J106*('Tyre Char.'!$D$24+'Tyre Char.'!$D$25*J109)*EXP('Tyre Char.'!$D$26*J109)*'Tyre Char.'!$D$27</f>
        <v>15815.359624066561</v>
      </c>
      <c r="K113" s="1">
        <f>K106*('Tyre Char.'!$D$24+'Tyre Char.'!$D$25*K109)*EXP('Tyre Char.'!$D$26*K109)*'Tyre Char.'!$D$27</f>
        <v>15815.359624066561</v>
      </c>
      <c r="L113" s="1">
        <f>L106*('Tyre Char.'!$D$24+'Tyre Char.'!$D$25*L109)*EXP('Tyre Char.'!$D$26*L109)*'Tyre Char.'!$D$27</f>
        <v>15815.359624066561</v>
      </c>
      <c r="M113" s="1">
        <f>M106*('Tyre Char.'!$D$24+'Tyre Char.'!$D$25*M109)*EXP('Tyre Char.'!$D$26*M109)*'Tyre Char.'!$D$27</f>
        <v>15815.359624066561</v>
      </c>
      <c r="N113" s="1">
        <f>N106*('Tyre Char.'!$D$24+'Tyre Char.'!$D$25*N109)*EXP('Tyre Char.'!$D$26*N109)*'Tyre Char.'!$D$27</f>
        <v>15815.359624066561</v>
      </c>
      <c r="O113" s="1">
        <f>O106*('Tyre Char.'!$D$24+'Tyre Char.'!$D$25*O109)*EXP('Tyre Char.'!$D$26*O109)*'Tyre Char.'!$D$27</f>
        <v>15815.359624066561</v>
      </c>
      <c r="P113" s="1">
        <f>P106*('Tyre Char.'!$D$24+'Tyre Char.'!$D$25*P109)*EXP('Tyre Char.'!$D$26*P109)*'Tyre Char.'!$D$27</f>
        <v>15815.359624066561</v>
      </c>
      <c r="Q113" s="1">
        <f>Q106*('Tyre Char.'!$D$24+'Tyre Char.'!$D$25*Q109)*EXP('Tyre Char.'!$D$26*Q109)*'Tyre Char.'!$D$27</f>
        <v>15815.359624066561</v>
      </c>
      <c r="R113" s="1">
        <f>R106*('Tyre Char.'!$D$24+'Tyre Char.'!$D$25*R109)*EXP('Tyre Char.'!$D$26*R109)*'Tyre Char.'!$D$27</f>
        <v>15815.359624066561</v>
      </c>
      <c r="S113" s="1">
        <f>S106*('Tyre Char.'!$D$24+'Tyre Char.'!$D$25*S109)*EXP('Tyre Char.'!$D$26*S109)*'Tyre Char.'!$D$27</f>
        <v>15815.359624066561</v>
      </c>
      <c r="T113" s="1">
        <f>T106*('Tyre Char.'!$D$24+'Tyre Char.'!$D$25*T109)*EXP('Tyre Char.'!$D$26*T109)*'Tyre Char.'!$D$27</f>
        <v>15815.359624066561</v>
      </c>
      <c r="U113" s="1">
        <f>U106*('Tyre Char.'!$D$24+'Tyre Char.'!$D$25*U109)*EXP('Tyre Char.'!$D$26*U109)*'Tyre Char.'!$D$27</f>
        <v>15815.359624066561</v>
      </c>
      <c r="V113" s="1">
        <f>V106*('Tyre Char.'!$D$24+'Tyre Char.'!$D$25*V109)*EXP('Tyre Char.'!$D$26*V109)*'Tyre Char.'!$D$27</f>
        <v>15815.359624066561</v>
      </c>
      <c r="W113" s="1">
        <f>W106*('Tyre Char.'!$D$24+'Tyre Char.'!$D$25*W109)*EXP('Tyre Char.'!$D$26*W109)*'Tyre Char.'!$D$27</f>
        <v>15815.359624066561</v>
      </c>
      <c r="X113" s="1">
        <f>X106*('Tyre Char.'!$D$24+'Tyre Char.'!$D$25*X109)*EXP('Tyre Char.'!$D$26*X109)*'Tyre Char.'!$D$27</f>
        <v>15815.359624066561</v>
      </c>
      <c r="Y113" s="1">
        <f>Y106*('Tyre Char.'!$D$24+'Tyre Char.'!$D$25*Y109)*EXP('Tyre Char.'!$D$26*Y109)*'Tyre Char.'!$D$27</f>
        <v>15815.359624066561</v>
      </c>
      <c r="Z113" s="1">
        <f>Z106*('Tyre Char.'!$D$24+'Tyre Char.'!$D$25*Z109)*EXP('Tyre Char.'!$D$26*Z109)*'Tyre Char.'!$D$27</f>
        <v>15815.359624066561</v>
      </c>
    </row>
    <row r="114" spans="1:26" x14ac:dyDescent="0.2">
      <c r="A114" s="17" t="s">
        <v>178</v>
      </c>
      <c r="B114" s="1">
        <f t="shared" ref="B114:Z114" si="55">B113/(B110*B112)</f>
        <v>10.406504065040652</v>
      </c>
      <c r="C114" s="1">
        <f t="shared" si="55"/>
        <v>10.406504065040652</v>
      </c>
      <c r="D114" s="1">
        <f t="shared" si="55"/>
        <v>10.406504065040652</v>
      </c>
      <c r="E114" s="1">
        <f t="shared" si="55"/>
        <v>10.406504065040652</v>
      </c>
      <c r="F114" s="1">
        <f t="shared" si="55"/>
        <v>10.406504065040652</v>
      </c>
      <c r="G114" s="1">
        <f t="shared" si="55"/>
        <v>10.406504065040652</v>
      </c>
      <c r="H114" s="1">
        <f t="shared" si="55"/>
        <v>10.406504065040652</v>
      </c>
      <c r="I114" s="1">
        <f t="shared" si="55"/>
        <v>10.406504065040652</v>
      </c>
      <c r="J114" s="1">
        <f t="shared" si="55"/>
        <v>10.406504065040652</v>
      </c>
      <c r="K114" s="1">
        <f t="shared" si="55"/>
        <v>10.406504065040652</v>
      </c>
      <c r="L114" s="1">
        <f t="shared" si="55"/>
        <v>10.406504065040652</v>
      </c>
      <c r="M114" s="1">
        <f t="shared" si="55"/>
        <v>10.406504065040652</v>
      </c>
      <c r="N114" s="1">
        <f t="shared" si="55"/>
        <v>10.406504065040652</v>
      </c>
      <c r="O114" s="1">
        <f t="shared" si="55"/>
        <v>10.406504065040652</v>
      </c>
      <c r="P114" s="1">
        <f t="shared" si="55"/>
        <v>10.406504065040652</v>
      </c>
      <c r="Q114" s="1">
        <f t="shared" si="55"/>
        <v>10.406504065040652</v>
      </c>
      <c r="R114" s="1">
        <f t="shared" si="55"/>
        <v>10.406504065040652</v>
      </c>
      <c r="S114" s="1">
        <f t="shared" si="55"/>
        <v>10.406504065040652</v>
      </c>
      <c r="T114" s="1">
        <f t="shared" si="55"/>
        <v>10.406504065040652</v>
      </c>
      <c r="U114" s="1">
        <f t="shared" si="55"/>
        <v>10.406504065040652</v>
      </c>
      <c r="V114" s="1">
        <f t="shared" si="55"/>
        <v>10.406504065040652</v>
      </c>
      <c r="W114" s="1">
        <f t="shared" si="55"/>
        <v>10.406504065040652</v>
      </c>
      <c r="X114" s="1">
        <f t="shared" si="55"/>
        <v>10.406504065040652</v>
      </c>
      <c r="Y114" s="1">
        <f t="shared" si="55"/>
        <v>10.406504065040652</v>
      </c>
      <c r="Z114" s="1">
        <f t="shared" si="55"/>
        <v>10.406504065040652</v>
      </c>
    </row>
    <row r="115" spans="1:26" x14ac:dyDescent="0.2">
      <c r="A115" s="17" t="s">
        <v>209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</row>
    <row r="116" spans="1:26" x14ac:dyDescent="0.2">
      <c r="A116" s="17" t="s">
        <v>173</v>
      </c>
      <c r="B116" s="1">
        <v>0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x14ac:dyDescent="0.2">
      <c r="A117" s="17" t="s">
        <v>179</v>
      </c>
      <c r="B117" s="1">
        <f t="shared" ref="B117:Z117" si="56">B107+B115</f>
        <v>2.7185536702337533E-3</v>
      </c>
      <c r="C117" s="1">
        <f t="shared" si="56"/>
        <v>3.4387223757496609E-3</v>
      </c>
      <c r="D117" s="1">
        <f t="shared" si="56"/>
        <v>4.3496700863237476E-3</v>
      </c>
      <c r="E117" s="1">
        <f t="shared" si="56"/>
        <v>5.501935833286062E-3</v>
      </c>
      <c r="F117" s="1">
        <f t="shared" si="56"/>
        <v>6.9594468805292487E-3</v>
      </c>
      <c r="G117" s="1">
        <f t="shared" si="56"/>
        <v>8.803065384712214E-3</v>
      </c>
      <c r="H117" s="1">
        <f t="shared" si="56"/>
        <v>1.1135074596851468E-2</v>
      </c>
      <c r="I117" s="1">
        <f t="shared" si="56"/>
        <v>1.4084853498052288E-2</v>
      </c>
      <c r="J117" s="1">
        <f t="shared" si="56"/>
        <v>1.7816054696004481E-2</v>
      </c>
      <c r="K117" s="1">
        <f t="shared" si="56"/>
        <v>2.2535683809200881E-2</v>
      </c>
      <c r="L117" s="1">
        <f t="shared" si="56"/>
        <v>2.8505584059650042E-2</v>
      </c>
      <c r="M117" s="1">
        <f t="shared" si="56"/>
        <v>3.6056963234903885E-2</v>
      </c>
      <c r="N117" s="1">
        <f t="shared" si="56"/>
        <v>4.5608768969709411E-2</v>
      </c>
      <c r="O117" s="1">
        <f t="shared" si="56"/>
        <v>5.7690931800898036E-2</v>
      </c>
      <c r="P117" s="1">
        <f t="shared" si="56"/>
        <v>7.2973765511327185E-2</v>
      </c>
      <c r="Q117" s="1">
        <f t="shared" si="56"/>
        <v>9.2305155882735662E-2</v>
      </c>
      <c r="R117" s="1">
        <f t="shared" si="56"/>
        <v>0.11675760107532886</v>
      </c>
      <c r="S117" s="1">
        <f t="shared" si="56"/>
        <v>0.14768771341640041</v>
      </c>
      <c r="T117" s="1">
        <f t="shared" si="56"/>
        <v>0.18681148373451528</v>
      </c>
      <c r="U117" s="1">
        <f t="shared" si="56"/>
        <v>0.23629948387579044</v>
      </c>
      <c r="V117" s="1">
        <f t="shared" si="56"/>
        <v>0.29889728920154401</v>
      </c>
      <c r="W117" s="1">
        <f t="shared" si="56"/>
        <v>0.37807780206152419</v>
      </c>
      <c r="X117" s="1">
        <f t="shared" si="56"/>
        <v>0.47823392709088069</v>
      </c>
      <c r="Y117" s="1">
        <f t="shared" si="56"/>
        <v>0.60492228788282154</v>
      </c>
      <c r="Z117" s="1">
        <f t="shared" si="56"/>
        <v>0.76517150634494413</v>
      </c>
    </row>
    <row r="118" spans="1:26" x14ac:dyDescent="0.2">
      <c r="A118" s="17" t="s">
        <v>180</v>
      </c>
      <c r="B118" s="1">
        <f>('Tyre Char.'!$D$19+'Tyre Char.'!$D$20*B109+'Tyre Char.'!$D$21*B109^2)*(1-'Tyre Char.'!$D$22*SIGN(B117))*'Tyre Char.'!$D$23</f>
        <v>-0.8</v>
      </c>
      <c r="C118" s="1">
        <f>('Tyre Char.'!$D$19+'Tyre Char.'!$D$20*C109+'Tyre Char.'!$D$21*C109^2)*(1-'Tyre Char.'!$D$22*SIGN(C117))*'Tyre Char.'!$D$23</f>
        <v>-0.8</v>
      </c>
      <c r="D118" s="1">
        <f>('Tyre Char.'!$D$19+'Tyre Char.'!$D$20*D109+'Tyre Char.'!$D$21*D109^2)*(1-'Tyre Char.'!$D$22*SIGN(D117))*'Tyre Char.'!$D$23</f>
        <v>-0.8</v>
      </c>
      <c r="E118" s="1">
        <f>('Tyre Char.'!$D$19+'Tyre Char.'!$D$20*E109+'Tyre Char.'!$D$21*E109^2)*(1-'Tyre Char.'!$D$22*SIGN(E117))*'Tyre Char.'!$D$23</f>
        <v>-0.8</v>
      </c>
      <c r="F118" s="1">
        <f>('Tyre Char.'!$D$19+'Tyre Char.'!$D$20*F109+'Tyre Char.'!$D$21*F109^2)*(1-'Tyre Char.'!$D$22*SIGN(F117))*'Tyre Char.'!$D$23</f>
        <v>-0.8</v>
      </c>
      <c r="G118" s="1">
        <f>('Tyre Char.'!$D$19+'Tyre Char.'!$D$20*G109+'Tyre Char.'!$D$21*G109^2)*(1-'Tyre Char.'!$D$22*SIGN(G117))*'Tyre Char.'!$D$23</f>
        <v>-0.8</v>
      </c>
      <c r="H118" s="1">
        <f>('Tyre Char.'!$D$19+'Tyre Char.'!$D$20*H109+'Tyre Char.'!$D$21*H109^2)*(1-'Tyre Char.'!$D$22*SIGN(H117))*'Tyre Char.'!$D$23</f>
        <v>-0.8</v>
      </c>
      <c r="I118" s="1">
        <f>('Tyre Char.'!$D$19+'Tyre Char.'!$D$20*I109+'Tyre Char.'!$D$21*I109^2)*(1-'Tyre Char.'!$D$22*SIGN(I117))*'Tyre Char.'!$D$23</f>
        <v>-0.8</v>
      </c>
      <c r="J118" s="1">
        <f>('Tyre Char.'!$D$19+'Tyre Char.'!$D$20*J109+'Tyre Char.'!$D$21*J109^2)*(1-'Tyre Char.'!$D$22*SIGN(J117))*'Tyre Char.'!$D$23</f>
        <v>-0.8</v>
      </c>
      <c r="K118" s="1">
        <f>('Tyre Char.'!$D$19+'Tyre Char.'!$D$20*K109+'Tyre Char.'!$D$21*K109^2)*(1-'Tyre Char.'!$D$22*SIGN(K117))*'Tyre Char.'!$D$23</f>
        <v>-0.8</v>
      </c>
      <c r="L118" s="1">
        <f>('Tyre Char.'!$D$19+'Tyre Char.'!$D$20*L109+'Tyre Char.'!$D$21*L109^2)*(1-'Tyre Char.'!$D$22*SIGN(L117))*'Tyre Char.'!$D$23</f>
        <v>-0.8</v>
      </c>
      <c r="M118" s="1">
        <f>('Tyre Char.'!$D$19+'Tyre Char.'!$D$20*M109+'Tyre Char.'!$D$21*M109^2)*(1-'Tyre Char.'!$D$22*SIGN(M117))*'Tyre Char.'!$D$23</f>
        <v>-0.8</v>
      </c>
      <c r="N118" s="1">
        <f>('Tyre Char.'!$D$19+'Tyre Char.'!$D$20*N109+'Tyre Char.'!$D$21*N109^2)*(1-'Tyre Char.'!$D$22*SIGN(N117))*'Tyre Char.'!$D$23</f>
        <v>-0.8</v>
      </c>
      <c r="O118" s="1">
        <f>('Tyre Char.'!$D$19+'Tyre Char.'!$D$20*O109+'Tyre Char.'!$D$21*O109^2)*(1-'Tyre Char.'!$D$22*SIGN(O117))*'Tyre Char.'!$D$23</f>
        <v>-0.8</v>
      </c>
      <c r="P118" s="1">
        <f>('Tyre Char.'!$D$19+'Tyre Char.'!$D$20*P109+'Tyre Char.'!$D$21*P109^2)*(1-'Tyre Char.'!$D$22*SIGN(P117))*'Tyre Char.'!$D$23</f>
        <v>-0.8</v>
      </c>
      <c r="Q118" s="1">
        <f>('Tyre Char.'!$D$19+'Tyre Char.'!$D$20*Q109+'Tyre Char.'!$D$21*Q109^2)*(1-'Tyre Char.'!$D$22*SIGN(Q117))*'Tyre Char.'!$D$23</f>
        <v>-0.8</v>
      </c>
      <c r="R118" s="1">
        <f>('Tyre Char.'!$D$19+'Tyre Char.'!$D$20*R109+'Tyre Char.'!$D$21*R109^2)*(1-'Tyre Char.'!$D$22*SIGN(R117))*'Tyre Char.'!$D$23</f>
        <v>-0.8</v>
      </c>
      <c r="S118" s="1">
        <f>('Tyre Char.'!$D$19+'Tyre Char.'!$D$20*S109+'Tyre Char.'!$D$21*S109^2)*(1-'Tyre Char.'!$D$22*SIGN(S117))*'Tyre Char.'!$D$23</f>
        <v>-0.8</v>
      </c>
      <c r="T118" s="1">
        <f>('Tyre Char.'!$D$19+'Tyre Char.'!$D$20*T109+'Tyre Char.'!$D$21*T109^2)*(1-'Tyre Char.'!$D$22*SIGN(T117))*'Tyre Char.'!$D$23</f>
        <v>-0.8</v>
      </c>
      <c r="U118" s="1">
        <f>('Tyre Char.'!$D$19+'Tyre Char.'!$D$20*U109+'Tyre Char.'!$D$21*U109^2)*(1-'Tyre Char.'!$D$22*SIGN(U117))*'Tyre Char.'!$D$23</f>
        <v>-0.8</v>
      </c>
      <c r="V118" s="1">
        <f>('Tyre Char.'!$D$19+'Tyre Char.'!$D$20*V109+'Tyre Char.'!$D$21*V109^2)*(1-'Tyre Char.'!$D$22*SIGN(V117))*'Tyre Char.'!$D$23</f>
        <v>-0.8</v>
      </c>
      <c r="W118" s="1">
        <f>('Tyre Char.'!$D$19+'Tyre Char.'!$D$20*W109+'Tyre Char.'!$D$21*W109^2)*(1-'Tyre Char.'!$D$22*SIGN(W117))*'Tyre Char.'!$D$23</f>
        <v>-0.8</v>
      </c>
      <c r="X118" s="1">
        <f>('Tyre Char.'!$D$19+'Tyre Char.'!$D$20*X109+'Tyre Char.'!$D$21*X109^2)*(1-'Tyre Char.'!$D$22*SIGN(X117))*'Tyre Char.'!$D$23</f>
        <v>-0.8</v>
      </c>
      <c r="Y118" s="1">
        <f>('Tyre Char.'!$D$19+'Tyre Char.'!$D$20*Y109+'Tyre Char.'!$D$21*Y109^2)*(1-'Tyre Char.'!$D$22*SIGN(Y117))*'Tyre Char.'!$D$23</f>
        <v>-0.8</v>
      </c>
      <c r="Z118" s="1">
        <f>('Tyre Char.'!$D$19+'Tyre Char.'!$D$20*Z109+'Tyre Char.'!$D$21*Z109^2)*(1-'Tyre Char.'!$D$22*SIGN(Z117))*'Tyre Char.'!$D$23</f>
        <v>-0.8</v>
      </c>
    </row>
    <row r="119" spans="1:26" x14ac:dyDescent="0.2">
      <c r="A119" s="18" t="s">
        <v>181</v>
      </c>
      <c r="B119" s="1">
        <f t="shared" ref="B119:Z119" si="57">B112*SIN(B110*ATAN(B114*B117-B118*(B114*B117-ATAN(B114*B117))))</f>
        <v>42.983644314882696</v>
      </c>
      <c r="C119" s="1">
        <f t="shared" si="57"/>
        <v>54.36183811637251</v>
      </c>
      <c r="D119" s="1">
        <f t="shared" si="57"/>
        <v>68.745450793187274</v>
      </c>
      <c r="E119" s="1">
        <f t="shared" si="57"/>
        <v>86.92164849888978</v>
      </c>
      <c r="F119" s="1">
        <f t="shared" si="57"/>
        <v>109.87686576415334</v>
      </c>
      <c r="G119" s="1">
        <f t="shared" si="57"/>
        <v>138.84000933188523</v>
      </c>
      <c r="H119" s="1">
        <f t="shared" si="57"/>
        <v>175.32707877487982</v>
      </c>
      <c r="I119" s="1">
        <f t="shared" si="57"/>
        <v>221.17690250045345</v>
      </c>
      <c r="J119" s="1">
        <f t="shared" si="57"/>
        <v>278.55339910692248</v>
      </c>
      <c r="K119" s="1">
        <f t="shared" si="57"/>
        <v>349.85952977224105</v>
      </c>
      <c r="L119" s="1">
        <f t="shared" si="57"/>
        <v>437.44808031074137</v>
      </c>
      <c r="M119" s="1">
        <f t="shared" si="57"/>
        <v>542.91343909026682</v>
      </c>
      <c r="N119" s="1">
        <f t="shared" si="57"/>
        <v>665.65379999147524</v>
      </c>
      <c r="O119" s="1">
        <f t="shared" si="57"/>
        <v>800.58583781828179</v>
      </c>
      <c r="P119" s="1">
        <f t="shared" si="57"/>
        <v>936.04359848733156</v>
      </c>
      <c r="Q119" s="1">
        <f t="shared" si="57"/>
        <v>1055.0110809991256</v>
      </c>
      <c r="R119" s="1">
        <f t="shared" si="57"/>
        <v>1142.2831260371388</v>
      </c>
      <c r="S119" s="1">
        <f t="shared" si="57"/>
        <v>1192.9690438442465</v>
      </c>
      <c r="T119" s="1">
        <f t="shared" si="57"/>
        <v>1213.4217579656388</v>
      </c>
      <c r="U119" s="1">
        <f t="shared" si="57"/>
        <v>1214.6924457869918</v>
      </c>
      <c r="V119" s="1">
        <f t="shared" si="57"/>
        <v>1206.3774163554356</v>
      </c>
      <c r="W119" s="1">
        <f t="shared" si="57"/>
        <v>1194.5899135770735</v>
      </c>
      <c r="X119" s="1">
        <f t="shared" si="57"/>
        <v>1182.5247084572736</v>
      </c>
      <c r="Y119" s="1">
        <f t="shared" si="57"/>
        <v>1171.5803874165683</v>
      </c>
      <c r="Z119" s="1">
        <f t="shared" si="57"/>
        <v>1162.2151982484386</v>
      </c>
    </row>
    <row r="120" spans="1:26" x14ac:dyDescent="0.2">
      <c r="E120" s="6"/>
      <c r="J120" s="6"/>
    </row>
    <row r="121" spans="1:26" x14ac:dyDescent="0.2">
      <c r="A121" s="16" t="s">
        <v>203</v>
      </c>
      <c r="B121" s="1">
        <v>1.0001</v>
      </c>
      <c r="C121" s="1">
        <f t="shared" ref="C121:Z121" si="58">B121+$B$6</f>
        <v>1.2351000000000001</v>
      </c>
      <c r="D121" s="1">
        <f t="shared" si="58"/>
        <v>1.4701</v>
      </c>
      <c r="E121" s="1">
        <f t="shared" si="58"/>
        <v>1.7050999999999998</v>
      </c>
      <c r="F121" s="1">
        <f t="shared" si="58"/>
        <v>1.9400999999999997</v>
      </c>
      <c r="G121" s="1">
        <f t="shared" si="58"/>
        <v>2.1750999999999996</v>
      </c>
      <c r="H121" s="1">
        <f t="shared" si="58"/>
        <v>2.4100999999999995</v>
      </c>
      <c r="I121" s="1">
        <f t="shared" si="58"/>
        <v>2.6450999999999993</v>
      </c>
      <c r="J121" s="1">
        <f t="shared" si="58"/>
        <v>2.8800999999999992</v>
      </c>
      <c r="K121" s="1">
        <f t="shared" si="58"/>
        <v>3.1150999999999991</v>
      </c>
      <c r="L121" s="1">
        <f t="shared" si="58"/>
        <v>3.350099999999999</v>
      </c>
      <c r="M121" s="1">
        <f t="shared" si="58"/>
        <v>3.5850999999999988</v>
      </c>
      <c r="N121" s="1">
        <f t="shared" si="58"/>
        <v>3.8200999999999987</v>
      </c>
      <c r="O121" s="1">
        <f t="shared" si="58"/>
        <v>4.0550999999999986</v>
      </c>
      <c r="P121" s="1">
        <f t="shared" si="58"/>
        <v>4.2900999999999989</v>
      </c>
      <c r="Q121" s="1">
        <f t="shared" si="58"/>
        <v>4.5250999999999992</v>
      </c>
      <c r="R121" s="1">
        <f t="shared" si="58"/>
        <v>4.7600999999999996</v>
      </c>
      <c r="S121" s="1">
        <f t="shared" si="58"/>
        <v>4.9950999999999999</v>
      </c>
      <c r="T121" s="1">
        <f t="shared" si="58"/>
        <v>5.2301000000000002</v>
      </c>
      <c r="U121" s="1">
        <f t="shared" si="58"/>
        <v>5.4651000000000005</v>
      </c>
      <c r="V121" s="1">
        <f t="shared" si="58"/>
        <v>5.7001000000000008</v>
      </c>
      <c r="W121" s="1">
        <f t="shared" si="58"/>
        <v>5.9351000000000012</v>
      </c>
      <c r="X121" s="1">
        <f t="shared" si="58"/>
        <v>6.1701000000000015</v>
      </c>
      <c r="Y121" s="1">
        <f t="shared" si="58"/>
        <v>6.4051000000000018</v>
      </c>
      <c r="Z121" s="1">
        <f t="shared" si="58"/>
        <v>6.6401000000000021</v>
      </c>
    </row>
    <row r="122" spans="1:26" x14ac:dyDescent="0.2">
      <c r="A122" s="17" t="s">
        <v>204</v>
      </c>
      <c r="B122" s="1">
        <f>'Tyre Char.'!$D$3</f>
        <v>1.5</v>
      </c>
      <c r="C122" s="1">
        <f>'Tyre Char.'!$D$3</f>
        <v>1.5</v>
      </c>
      <c r="D122" s="1">
        <f>'Tyre Char.'!$D$3</f>
        <v>1.5</v>
      </c>
      <c r="E122" s="1">
        <f>'Tyre Char.'!$D$3</f>
        <v>1.5</v>
      </c>
      <c r="F122" s="1">
        <f>'Tyre Char.'!$D$3</f>
        <v>1.5</v>
      </c>
      <c r="G122" s="1">
        <f>'Tyre Char.'!$D$3</f>
        <v>1.5</v>
      </c>
      <c r="H122" s="1">
        <f>'Tyre Char.'!$D$3</f>
        <v>1.5</v>
      </c>
      <c r="I122" s="1">
        <f>'Tyre Char.'!$D$3</f>
        <v>1.5</v>
      </c>
      <c r="J122" s="1">
        <f>'Tyre Char.'!$D$3</f>
        <v>1.5</v>
      </c>
      <c r="K122" s="1">
        <f>'Tyre Char.'!$D$3</f>
        <v>1.5</v>
      </c>
      <c r="L122" s="1">
        <f>'Tyre Char.'!$D$3</f>
        <v>1.5</v>
      </c>
      <c r="M122" s="1">
        <f>'Tyre Char.'!$D$3</f>
        <v>1.5</v>
      </c>
      <c r="N122" s="1">
        <f>'Tyre Char.'!$D$3</f>
        <v>1.5</v>
      </c>
      <c r="O122" s="1">
        <f>'Tyre Char.'!$D$3</f>
        <v>1.5</v>
      </c>
      <c r="P122" s="1">
        <f>'Tyre Char.'!$D$3</f>
        <v>1.5</v>
      </c>
      <c r="Q122" s="1">
        <f>'Tyre Char.'!$D$3</f>
        <v>1.5</v>
      </c>
      <c r="R122" s="1">
        <f>'Tyre Char.'!$D$3</f>
        <v>1.5</v>
      </c>
      <c r="S122" s="1">
        <f>'Tyre Char.'!$D$3</f>
        <v>1.5</v>
      </c>
      <c r="T122" s="1">
        <f>'Tyre Char.'!$D$3</f>
        <v>1.5</v>
      </c>
      <c r="U122" s="1">
        <f>'Tyre Char.'!$D$3</f>
        <v>1.5</v>
      </c>
      <c r="V122" s="1">
        <f>'Tyre Char.'!$D$3</f>
        <v>1.5</v>
      </c>
      <c r="W122" s="1">
        <f>'Tyre Char.'!$D$3</f>
        <v>1.5</v>
      </c>
      <c r="X122" s="1">
        <f>'Tyre Char.'!$D$3</f>
        <v>1.5</v>
      </c>
      <c r="Y122" s="1">
        <f>'Tyre Char.'!$D$3</f>
        <v>1.5</v>
      </c>
      <c r="Z122" s="1">
        <f>'Tyre Char.'!$D$3</f>
        <v>1.5</v>
      </c>
    </row>
    <row r="123" spans="1:26" x14ac:dyDescent="0.2">
      <c r="A123" s="17" t="s">
        <v>205</v>
      </c>
      <c r="B123" s="1">
        <f t="shared" ref="B123:Z123" si="59">B122/180*PI()</f>
        <v>2.6179938779914941E-2</v>
      </c>
      <c r="C123" s="1">
        <f t="shared" si="59"/>
        <v>2.6179938779914941E-2</v>
      </c>
      <c r="D123" s="1">
        <f t="shared" si="59"/>
        <v>2.6179938779914941E-2</v>
      </c>
      <c r="E123" s="1">
        <f t="shared" si="59"/>
        <v>2.6179938779914941E-2</v>
      </c>
      <c r="F123" s="1">
        <f t="shared" si="59"/>
        <v>2.6179938779914941E-2</v>
      </c>
      <c r="G123" s="1">
        <f t="shared" si="59"/>
        <v>2.6179938779914941E-2</v>
      </c>
      <c r="H123" s="1">
        <f t="shared" si="59"/>
        <v>2.6179938779914941E-2</v>
      </c>
      <c r="I123" s="1">
        <f t="shared" si="59"/>
        <v>2.6179938779914941E-2</v>
      </c>
      <c r="J123" s="1">
        <f t="shared" si="59"/>
        <v>2.6179938779914941E-2</v>
      </c>
      <c r="K123" s="1">
        <f t="shared" si="59"/>
        <v>2.6179938779914941E-2</v>
      </c>
      <c r="L123" s="1">
        <f t="shared" si="59"/>
        <v>2.6179938779914941E-2</v>
      </c>
      <c r="M123" s="1">
        <f t="shared" si="59"/>
        <v>2.6179938779914941E-2</v>
      </c>
      <c r="N123" s="1">
        <f t="shared" si="59"/>
        <v>2.6179938779914941E-2</v>
      </c>
      <c r="O123" s="1">
        <f t="shared" si="59"/>
        <v>2.6179938779914941E-2</v>
      </c>
      <c r="P123" s="1">
        <f t="shared" si="59"/>
        <v>2.6179938779914941E-2</v>
      </c>
      <c r="Q123" s="1">
        <f t="shared" si="59"/>
        <v>2.6179938779914941E-2</v>
      </c>
      <c r="R123" s="1">
        <f t="shared" si="59"/>
        <v>2.6179938779914941E-2</v>
      </c>
      <c r="S123" s="1">
        <f t="shared" si="59"/>
        <v>2.6179938779914941E-2</v>
      </c>
      <c r="T123" s="1">
        <f t="shared" si="59"/>
        <v>2.6179938779914941E-2</v>
      </c>
      <c r="U123" s="1">
        <f t="shared" si="59"/>
        <v>2.6179938779914941E-2</v>
      </c>
      <c r="V123" s="1">
        <f t="shared" si="59"/>
        <v>2.6179938779914941E-2</v>
      </c>
      <c r="W123" s="1">
        <f t="shared" si="59"/>
        <v>2.6179938779914941E-2</v>
      </c>
      <c r="X123" s="1">
        <f t="shared" si="59"/>
        <v>2.6179938779914941E-2</v>
      </c>
      <c r="Y123" s="1">
        <f t="shared" si="59"/>
        <v>2.6179938779914941E-2</v>
      </c>
      <c r="Z123" s="1">
        <f t="shared" si="59"/>
        <v>2.6179938779914941E-2</v>
      </c>
    </row>
    <row r="124" spans="1:26" x14ac:dyDescent="0.2">
      <c r="A124" s="17" t="s">
        <v>206</v>
      </c>
      <c r="B124" s="9">
        <f>$C$50</f>
        <v>384.94002349583997</v>
      </c>
      <c r="C124" s="1">
        <f t="shared" ref="C124:Z124" si="60">B124</f>
        <v>384.94002349583997</v>
      </c>
      <c r="D124" s="1">
        <f t="shared" si="60"/>
        <v>384.94002349583997</v>
      </c>
      <c r="E124" s="1">
        <f t="shared" si="60"/>
        <v>384.94002349583997</v>
      </c>
      <c r="F124" s="1">
        <f t="shared" si="60"/>
        <v>384.94002349583997</v>
      </c>
      <c r="G124" s="1">
        <f t="shared" si="60"/>
        <v>384.94002349583997</v>
      </c>
      <c r="H124" s="1">
        <f t="shared" si="60"/>
        <v>384.94002349583997</v>
      </c>
      <c r="I124" s="1">
        <f t="shared" si="60"/>
        <v>384.94002349583997</v>
      </c>
      <c r="J124" s="1">
        <f t="shared" si="60"/>
        <v>384.94002349583997</v>
      </c>
      <c r="K124" s="1">
        <f t="shared" si="60"/>
        <v>384.94002349583997</v>
      </c>
      <c r="L124" s="1">
        <f t="shared" si="60"/>
        <v>384.94002349583997</v>
      </c>
      <c r="M124" s="1">
        <f t="shared" si="60"/>
        <v>384.94002349583997</v>
      </c>
      <c r="N124" s="1">
        <f t="shared" si="60"/>
        <v>384.94002349583997</v>
      </c>
      <c r="O124" s="1">
        <f t="shared" si="60"/>
        <v>384.94002349583997</v>
      </c>
      <c r="P124" s="1">
        <f t="shared" si="60"/>
        <v>384.94002349583997</v>
      </c>
      <c r="Q124" s="1">
        <f t="shared" si="60"/>
        <v>384.94002349583997</v>
      </c>
      <c r="R124" s="1">
        <f t="shared" si="60"/>
        <v>384.94002349583997</v>
      </c>
      <c r="S124" s="1">
        <f t="shared" si="60"/>
        <v>384.94002349583997</v>
      </c>
      <c r="T124" s="1">
        <f t="shared" si="60"/>
        <v>384.94002349583997</v>
      </c>
      <c r="U124" s="1">
        <f t="shared" si="60"/>
        <v>384.94002349583997</v>
      </c>
      <c r="V124" s="1">
        <f t="shared" si="60"/>
        <v>384.94002349583997</v>
      </c>
      <c r="W124" s="1">
        <f t="shared" si="60"/>
        <v>384.94002349583997</v>
      </c>
      <c r="X124" s="1">
        <f t="shared" si="60"/>
        <v>384.94002349583997</v>
      </c>
      <c r="Y124" s="1">
        <f t="shared" si="60"/>
        <v>384.94002349583997</v>
      </c>
      <c r="Z124" s="1">
        <f t="shared" si="60"/>
        <v>384.94002349583997</v>
      </c>
    </row>
    <row r="125" spans="1:26" x14ac:dyDescent="0.2">
      <c r="A125" s="17" t="s">
        <v>207</v>
      </c>
      <c r="B125" s="1">
        <f t="shared" ref="B125:Z125" si="61">EXP(B121)/1000</f>
        <v>2.7185536702337533E-3</v>
      </c>
      <c r="C125" s="1">
        <f t="shared" si="61"/>
        <v>3.4387223757496609E-3</v>
      </c>
      <c r="D125" s="1">
        <f t="shared" si="61"/>
        <v>4.3496700863237476E-3</v>
      </c>
      <c r="E125" s="1">
        <f t="shared" si="61"/>
        <v>5.501935833286062E-3</v>
      </c>
      <c r="F125" s="1">
        <f t="shared" si="61"/>
        <v>6.9594468805292487E-3</v>
      </c>
      <c r="G125" s="1">
        <f t="shared" si="61"/>
        <v>8.803065384712214E-3</v>
      </c>
      <c r="H125" s="1">
        <f t="shared" si="61"/>
        <v>1.1135074596851468E-2</v>
      </c>
      <c r="I125" s="1">
        <f t="shared" si="61"/>
        <v>1.4084853498052288E-2</v>
      </c>
      <c r="J125" s="1">
        <f t="shared" si="61"/>
        <v>1.7816054696004481E-2</v>
      </c>
      <c r="K125" s="1">
        <f t="shared" si="61"/>
        <v>2.2535683809200881E-2</v>
      </c>
      <c r="L125" s="1">
        <f t="shared" si="61"/>
        <v>2.8505584059650042E-2</v>
      </c>
      <c r="M125" s="1">
        <f t="shared" si="61"/>
        <v>3.6056963234903885E-2</v>
      </c>
      <c r="N125" s="1">
        <f t="shared" si="61"/>
        <v>4.5608768969709411E-2</v>
      </c>
      <c r="O125" s="1">
        <f t="shared" si="61"/>
        <v>5.7690931800898036E-2</v>
      </c>
      <c r="P125" s="1">
        <f t="shared" si="61"/>
        <v>7.2973765511327185E-2</v>
      </c>
      <c r="Q125" s="1">
        <f t="shared" si="61"/>
        <v>9.2305155882735662E-2</v>
      </c>
      <c r="R125" s="1">
        <f t="shared" si="61"/>
        <v>0.11675760107532886</v>
      </c>
      <c r="S125" s="1">
        <f t="shared" si="61"/>
        <v>0.14768771341640041</v>
      </c>
      <c r="T125" s="1">
        <f t="shared" si="61"/>
        <v>0.18681148373451528</v>
      </c>
      <c r="U125" s="1">
        <f t="shared" si="61"/>
        <v>0.23629948387579044</v>
      </c>
      <c r="V125" s="1">
        <f t="shared" si="61"/>
        <v>0.29889728920154401</v>
      </c>
      <c r="W125" s="1">
        <f t="shared" si="61"/>
        <v>0.37807780206152419</v>
      </c>
      <c r="X125" s="1">
        <f t="shared" si="61"/>
        <v>0.47823392709088069</v>
      </c>
      <c r="Y125" s="1">
        <f t="shared" si="61"/>
        <v>0.60492228788282154</v>
      </c>
      <c r="Z125" s="1">
        <f t="shared" si="61"/>
        <v>0.76517150634494413</v>
      </c>
    </row>
    <row r="126" spans="1:26" x14ac:dyDescent="0.2">
      <c r="A126" s="17" t="s">
        <v>208</v>
      </c>
      <c r="B126" s="1">
        <f t="shared" ref="B126:Z126" si="62">SIN(B123)</f>
        <v>2.6176948307873149E-2</v>
      </c>
      <c r="C126" s="1">
        <f t="shared" si="62"/>
        <v>2.6176948307873149E-2</v>
      </c>
      <c r="D126" s="1">
        <f t="shared" si="62"/>
        <v>2.6176948307873149E-2</v>
      </c>
      <c r="E126" s="1">
        <f t="shared" si="62"/>
        <v>2.6176948307873149E-2</v>
      </c>
      <c r="F126" s="1">
        <f t="shared" si="62"/>
        <v>2.6176948307873149E-2</v>
      </c>
      <c r="G126" s="1">
        <f t="shared" si="62"/>
        <v>2.6176948307873149E-2</v>
      </c>
      <c r="H126" s="1">
        <f t="shared" si="62"/>
        <v>2.6176948307873149E-2</v>
      </c>
      <c r="I126" s="1">
        <f t="shared" si="62"/>
        <v>2.6176948307873149E-2</v>
      </c>
      <c r="J126" s="1">
        <f t="shared" si="62"/>
        <v>2.6176948307873149E-2</v>
      </c>
      <c r="K126" s="1">
        <f t="shared" si="62"/>
        <v>2.6176948307873149E-2</v>
      </c>
      <c r="L126" s="1">
        <f t="shared" si="62"/>
        <v>2.6176948307873149E-2</v>
      </c>
      <c r="M126" s="1">
        <f t="shared" si="62"/>
        <v>2.6176948307873149E-2</v>
      </c>
      <c r="N126" s="1">
        <f t="shared" si="62"/>
        <v>2.6176948307873149E-2</v>
      </c>
      <c r="O126" s="1">
        <f t="shared" si="62"/>
        <v>2.6176948307873149E-2</v>
      </c>
      <c r="P126" s="1">
        <f t="shared" si="62"/>
        <v>2.6176948307873149E-2</v>
      </c>
      <c r="Q126" s="1">
        <f t="shared" si="62"/>
        <v>2.6176948307873149E-2</v>
      </c>
      <c r="R126" s="1">
        <f t="shared" si="62"/>
        <v>2.6176948307873149E-2</v>
      </c>
      <c r="S126" s="1">
        <f t="shared" si="62"/>
        <v>2.6176948307873149E-2</v>
      </c>
      <c r="T126" s="1">
        <f t="shared" si="62"/>
        <v>2.6176948307873149E-2</v>
      </c>
      <c r="U126" s="1">
        <f t="shared" si="62"/>
        <v>2.6176948307873149E-2</v>
      </c>
      <c r="V126" s="1">
        <f t="shared" si="62"/>
        <v>2.6176948307873149E-2</v>
      </c>
      <c r="W126" s="1">
        <f t="shared" si="62"/>
        <v>2.6176948307873149E-2</v>
      </c>
      <c r="X126" s="1">
        <f t="shared" si="62"/>
        <v>2.6176948307873149E-2</v>
      </c>
      <c r="Y126" s="1">
        <f t="shared" si="62"/>
        <v>2.6176948307873149E-2</v>
      </c>
      <c r="Z126" s="1">
        <f t="shared" si="62"/>
        <v>2.6176948307873149E-2</v>
      </c>
    </row>
    <row r="127" spans="1:26" x14ac:dyDescent="0.2">
      <c r="A127" s="17" t="s">
        <v>172</v>
      </c>
      <c r="B127" s="1">
        <v>0</v>
      </c>
      <c r="C127" s="1">
        <f t="shared" ref="C127:Z127" si="63">B127</f>
        <v>0</v>
      </c>
      <c r="D127" s="1">
        <f t="shared" si="63"/>
        <v>0</v>
      </c>
      <c r="E127" s="1">
        <f t="shared" si="63"/>
        <v>0</v>
      </c>
      <c r="F127" s="1">
        <f t="shared" si="63"/>
        <v>0</v>
      </c>
      <c r="G127" s="1">
        <f t="shared" si="63"/>
        <v>0</v>
      </c>
      <c r="H127" s="1">
        <f t="shared" si="63"/>
        <v>0</v>
      </c>
      <c r="I127" s="1">
        <f t="shared" si="63"/>
        <v>0</v>
      </c>
      <c r="J127" s="1">
        <f t="shared" si="63"/>
        <v>0</v>
      </c>
      <c r="K127" s="1">
        <f t="shared" si="63"/>
        <v>0</v>
      </c>
      <c r="L127" s="1">
        <f t="shared" si="63"/>
        <v>0</v>
      </c>
      <c r="M127" s="1">
        <f t="shared" si="63"/>
        <v>0</v>
      </c>
      <c r="N127" s="1">
        <f t="shared" si="63"/>
        <v>0</v>
      </c>
      <c r="O127" s="1">
        <f t="shared" si="63"/>
        <v>0</v>
      </c>
      <c r="P127" s="1">
        <f t="shared" si="63"/>
        <v>0</v>
      </c>
      <c r="Q127" s="1">
        <f t="shared" si="63"/>
        <v>0</v>
      </c>
      <c r="R127" s="1">
        <f t="shared" si="63"/>
        <v>0</v>
      </c>
      <c r="S127" s="1">
        <f t="shared" si="63"/>
        <v>0</v>
      </c>
      <c r="T127" s="1">
        <f t="shared" si="63"/>
        <v>0</v>
      </c>
      <c r="U127" s="1">
        <f t="shared" si="63"/>
        <v>0</v>
      </c>
      <c r="V127" s="1">
        <f t="shared" si="63"/>
        <v>0</v>
      </c>
      <c r="W127" s="1">
        <f t="shared" si="63"/>
        <v>0</v>
      </c>
      <c r="X127" s="1">
        <f t="shared" si="63"/>
        <v>0</v>
      </c>
      <c r="Y127" s="1">
        <f t="shared" si="63"/>
        <v>0</v>
      </c>
      <c r="Z127" s="1">
        <f t="shared" si="63"/>
        <v>0</v>
      </c>
    </row>
    <row r="128" spans="1:26" x14ac:dyDescent="0.2">
      <c r="A128" s="17" t="s">
        <v>175</v>
      </c>
      <c r="B128" s="1">
        <f>'Tyre Char.'!$D$14*'Tyre Char.'!$D$15</f>
        <v>1.25</v>
      </c>
      <c r="C128" s="1">
        <f t="shared" ref="C128:Z128" si="64">B128</f>
        <v>1.25</v>
      </c>
      <c r="D128" s="1">
        <f t="shared" si="64"/>
        <v>1.25</v>
      </c>
      <c r="E128" s="1">
        <f t="shared" si="64"/>
        <v>1.25</v>
      </c>
      <c r="F128" s="1">
        <f t="shared" si="64"/>
        <v>1.25</v>
      </c>
      <c r="G128" s="1">
        <f t="shared" si="64"/>
        <v>1.25</v>
      </c>
      <c r="H128" s="1">
        <f t="shared" si="64"/>
        <v>1.25</v>
      </c>
      <c r="I128" s="1">
        <f t="shared" si="64"/>
        <v>1.25</v>
      </c>
      <c r="J128" s="1">
        <f t="shared" si="64"/>
        <v>1.25</v>
      </c>
      <c r="K128" s="1">
        <f t="shared" si="64"/>
        <v>1.25</v>
      </c>
      <c r="L128" s="1">
        <f t="shared" si="64"/>
        <v>1.25</v>
      </c>
      <c r="M128" s="1">
        <f t="shared" si="64"/>
        <v>1.25</v>
      </c>
      <c r="N128" s="1">
        <f t="shared" si="64"/>
        <v>1.25</v>
      </c>
      <c r="O128" s="1">
        <f t="shared" si="64"/>
        <v>1.25</v>
      </c>
      <c r="P128" s="1">
        <f t="shared" si="64"/>
        <v>1.25</v>
      </c>
      <c r="Q128" s="1">
        <f t="shared" si="64"/>
        <v>1.25</v>
      </c>
      <c r="R128" s="1">
        <f t="shared" si="64"/>
        <v>1.25</v>
      </c>
      <c r="S128" s="1">
        <f t="shared" si="64"/>
        <v>1.25</v>
      </c>
      <c r="T128" s="1">
        <f t="shared" si="64"/>
        <v>1.25</v>
      </c>
      <c r="U128" s="1">
        <f t="shared" si="64"/>
        <v>1.25</v>
      </c>
      <c r="V128" s="1">
        <f t="shared" si="64"/>
        <v>1.25</v>
      </c>
      <c r="W128" s="1">
        <f t="shared" si="64"/>
        <v>1.25</v>
      </c>
      <c r="X128" s="1">
        <f t="shared" si="64"/>
        <v>1.25</v>
      </c>
      <c r="Y128" s="1">
        <f t="shared" si="64"/>
        <v>1.25</v>
      </c>
      <c r="Z128" s="1">
        <f t="shared" si="64"/>
        <v>1.25</v>
      </c>
    </row>
    <row r="129" spans="1:26" x14ac:dyDescent="0.2">
      <c r="A129" s="17" t="s">
        <v>19</v>
      </c>
      <c r="B129" s="6">
        <f>('Tyre Char.'!$D$16+'Tyre Char.'!$D$17*B127)*'Tyre Char.'!$D$18</f>
        <v>1.23</v>
      </c>
      <c r="C129" s="6">
        <f>('Tyre Char.'!$D$16+'Tyre Char.'!$D$17*C127)*'Tyre Char.'!$D$18</f>
        <v>1.23</v>
      </c>
      <c r="D129" s="6">
        <f>('Tyre Char.'!$D$16+'Tyre Char.'!$D$17*D127)*'Tyre Char.'!$D$18</f>
        <v>1.23</v>
      </c>
      <c r="E129" s="6">
        <f>('Tyre Char.'!$D$16+'Tyre Char.'!$D$17*E127)*'Tyre Char.'!$D$18</f>
        <v>1.23</v>
      </c>
      <c r="F129" s="6">
        <f>('Tyre Char.'!$D$16+'Tyre Char.'!$D$17*F127)*'Tyre Char.'!$D$18</f>
        <v>1.23</v>
      </c>
      <c r="G129" s="6">
        <f>('Tyre Char.'!$D$16+'Tyre Char.'!$D$17*G127)*'Tyre Char.'!$D$18</f>
        <v>1.23</v>
      </c>
      <c r="H129" s="6">
        <f>('Tyre Char.'!$D$16+'Tyre Char.'!$D$17*H127)*'Tyre Char.'!$D$18</f>
        <v>1.23</v>
      </c>
      <c r="I129" s="6">
        <f>('Tyre Char.'!$D$16+'Tyre Char.'!$D$17*I127)*'Tyre Char.'!$D$18</f>
        <v>1.23</v>
      </c>
      <c r="J129" s="6">
        <f>('Tyre Char.'!$D$16+'Tyre Char.'!$D$17*J127)*'Tyre Char.'!$D$18</f>
        <v>1.23</v>
      </c>
      <c r="K129" s="6">
        <f>('Tyre Char.'!$D$16+'Tyre Char.'!$D$17*K127)*'Tyre Char.'!$D$18</f>
        <v>1.23</v>
      </c>
      <c r="L129" s="6">
        <f>('Tyre Char.'!$D$16+'Tyre Char.'!$D$17*L127)*'Tyre Char.'!$D$18</f>
        <v>1.23</v>
      </c>
      <c r="M129" s="6">
        <f>('Tyre Char.'!$D$16+'Tyre Char.'!$D$17*M127)*'Tyre Char.'!$D$18</f>
        <v>1.23</v>
      </c>
      <c r="N129" s="6">
        <f>('Tyre Char.'!$D$16+'Tyre Char.'!$D$17*N127)*'Tyre Char.'!$D$18</f>
        <v>1.23</v>
      </c>
      <c r="O129" s="6">
        <f>('Tyre Char.'!$D$16+'Tyre Char.'!$D$17*O127)*'Tyre Char.'!$D$18</f>
        <v>1.23</v>
      </c>
      <c r="P129" s="6">
        <f>('Tyre Char.'!$D$16+'Tyre Char.'!$D$17*P127)*'Tyre Char.'!$D$18</f>
        <v>1.23</v>
      </c>
      <c r="Q129" s="6">
        <f>('Tyre Char.'!$D$16+'Tyre Char.'!$D$17*Q127)*'Tyre Char.'!$D$18</f>
        <v>1.23</v>
      </c>
      <c r="R129" s="6">
        <f>('Tyre Char.'!$D$16+'Tyre Char.'!$D$17*R127)*'Tyre Char.'!$D$18</f>
        <v>1.23</v>
      </c>
      <c r="S129" s="6">
        <f>('Tyre Char.'!$D$16+'Tyre Char.'!$D$17*S127)*'Tyre Char.'!$D$18</f>
        <v>1.23</v>
      </c>
      <c r="T129" s="6">
        <f>('Tyre Char.'!$D$16+'Tyre Char.'!$D$17*T127)*'Tyre Char.'!$D$18</f>
        <v>1.23</v>
      </c>
      <c r="U129" s="6">
        <f>('Tyre Char.'!$D$16+'Tyre Char.'!$D$17*U127)*'Tyre Char.'!$D$18</f>
        <v>1.23</v>
      </c>
      <c r="V129" s="6">
        <f>('Tyre Char.'!$D$16+'Tyre Char.'!$D$17*V127)*'Tyre Char.'!$D$18</f>
        <v>1.23</v>
      </c>
      <c r="W129" s="6">
        <f>('Tyre Char.'!$D$16+'Tyre Char.'!$D$17*W127)*'Tyre Char.'!$D$18</f>
        <v>1.23</v>
      </c>
      <c r="X129" s="6">
        <f>('Tyre Char.'!$D$16+'Tyre Char.'!$D$17*X127)*'Tyre Char.'!$D$18</f>
        <v>1.23</v>
      </c>
      <c r="Y129" s="6">
        <f>('Tyre Char.'!$D$16+'Tyre Char.'!$D$17*Y127)*'Tyre Char.'!$D$18</f>
        <v>1.23</v>
      </c>
      <c r="Z129" s="6">
        <f>('Tyre Char.'!$D$16+'Tyre Char.'!$D$17*Z127)*'Tyre Char.'!$D$18</f>
        <v>1.23</v>
      </c>
    </row>
    <row r="130" spans="1:26" x14ac:dyDescent="0.2">
      <c r="A130" s="17" t="s">
        <v>176</v>
      </c>
      <c r="B130" s="1">
        <f t="shared" ref="B130:Z130" si="65">B129*B124</f>
        <v>473.47622889988315</v>
      </c>
      <c r="C130" s="1">
        <f t="shared" si="65"/>
        <v>473.47622889988315</v>
      </c>
      <c r="D130" s="1">
        <f t="shared" si="65"/>
        <v>473.47622889988315</v>
      </c>
      <c r="E130" s="1">
        <f t="shared" si="65"/>
        <v>473.47622889988315</v>
      </c>
      <c r="F130" s="1">
        <f t="shared" si="65"/>
        <v>473.47622889988315</v>
      </c>
      <c r="G130" s="1">
        <f t="shared" si="65"/>
        <v>473.47622889988315</v>
      </c>
      <c r="H130" s="1">
        <f t="shared" si="65"/>
        <v>473.47622889988315</v>
      </c>
      <c r="I130" s="1">
        <f t="shared" si="65"/>
        <v>473.47622889988315</v>
      </c>
      <c r="J130" s="1">
        <f t="shared" si="65"/>
        <v>473.47622889988315</v>
      </c>
      <c r="K130" s="1">
        <f t="shared" si="65"/>
        <v>473.47622889988315</v>
      </c>
      <c r="L130" s="1">
        <f t="shared" si="65"/>
        <v>473.47622889988315</v>
      </c>
      <c r="M130" s="1">
        <f t="shared" si="65"/>
        <v>473.47622889988315</v>
      </c>
      <c r="N130" s="1">
        <f t="shared" si="65"/>
        <v>473.47622889988315</v>
      </c>
      <c r="O130" s="1">
        <f t="shared" si="65"/>
        <v>473.47622889988315</v>
      </c>
      <c r="P130" s="1">
        <f t="shared" si="65"/>
        <v>473.47622889988315</v>
      </c>
      <c r="Q130" s="1">
        <f t="shared" si="65"/>
        <v>473.47622889988315</v>
      </c>
      <c r="R130" s="1">
        <f t="shared" si="65"/>
        <v>473.47622889988315</v>
      </c>
      <c r="S130" s="1">
        <f t="shared" si="65"/>
        <v>473.47622889988315</v>
      </c>
      <c r="T130" s="1">
        <f t="shared" si="65"/>
        <v>473.47622889988315</v>
      </c>
      <c r="U130" s="1">
        <f t="shared" si="65"/>
        <v>473.47622889988315</v>
      </c>
      <c r="V130" s="1">
        <f t="shared" si="65"/>
        <v>473.47622889988315</v>
      </c>
      <c r="W130" s="1">
        <f t="shared" si="65"/>
        <v>473.47622889988315</v>
      </c>
      <c r="X130" s="1">
        <f t="shared" si="65"/>
        <v>473.47622889988315</v>
      </c>
      <c r="Y130" s="1">
        <f t="shared" si="65"/>
        <v>473.47622889988315</v>
      </c>
      <c r="Z130" s="1">
        <f t="shared" si="65"/>
        <v>473.47622889988315</v>
      </c>
    </row>
    <row r="131" spans="1:26" x14ac:dyDescent="0.2">
      <c r="A131" s="17" t="s">
        <v>177</v>
      </c>
      <c r="B131" s="1">
        <f>B124*('Tyre Char.'!$D$24+'Tyre Char.'!$D$25*B127)*EXP('Tyre Char.'!$D$26*B127)*'Tyre Char.'!$D$27</f>
        <v>6159.0403759334395</v>
      </c>
      <c r="C131" s="1">
        <f>C124*('Tyre Char.'!$D$24+'Tyre Char.'!$D$25*C127)*EXP('Tyre Char.'!$D$26*C127)*'Tyre Char.'!$D$27</f>
        <v>6159.0403759334395</v>
      </c>
      <c r="D131" s="1">
        <f>D124*('Tyre Char.'!$D$24+'Tyre Char.'!$D$25*D127)*EXP('Tyre Char.'!$D$26*D127)*'Tyre Char.'!$D$27</f>
        <v>6159.0403759334395</v>
      </c>
      <c r="E131" s="1">
        <f>E124*('Tyre Char.'!$D$24+'Tyre Char.'!$D$25*E127)*EXP('Tyre Char.'!$D$26*E127)*'Tyre Char.'!$D$27</f>
        <v>6159.0403759334395</v>
      </c>
      <c r="F131" s="1">
        <f>F124*('Tyre Char.'!$D$24+'Tyre Char.'!$D$25*F127)*EXP('Tyre Char.'!$D$26*F127)*'Tyre Char.'!$D$27</f>
        <v>6159.0403759334395</v>
      </c>
      <c r="G131" s="1">
        <f>G124*('Tyre Char.'!$D$24+'Tyre Char.'!$D$25*G127)*EXP('Tyre Char.'!$D$26*G127)*'Tyre Char.'!$D$27</f>
        <v>6159.0403759334395</v>
      </c>
      <c r="H131" s="1">
        <f>H124*('Tyre Char.'!$D$24+'Tyre Char.'!$D$25*H127)*EXP('Tyre Char.'!$D$26*H127)*'Tyre Char.'!$D$27</f>
        <v>6159.0403759334395</v>
      </c>
      <c r="I131" s="1">
        <f>I124*('Tyre Char.'!$D$24+'Tyre Char.'!$D$25*I127)*EXP('Tyre Char.'!$D$26*I127)*'Tyre Char.'!$D$27</f>
        <v>6159.0403759334395</v>
      </c>
      <c r="J131" s="1">
        <f>J124*('Tyre Char.'!$D$24+'Tyre Char.'!$D$25*J127)*EXP('Tyre Char.'!$D$26*J127)*'Tyre Char.'!$D$27</f>
        <v>6159.0403759334395</v>
      </c>
      <c r="K131" s="1">
        <f>K124*('Tyre Char.'!$D$24+'Tyre Char.'!$D$25*K127)*EXP('Tyre Char.'!$D$26*K127)*'Tyre Char.'!$D$27</f>
        <v>6159.0403759334395</v>
      </c>
      <c r="L131" s="1">
        <f>L124*('Tyre Char.'!$D$24+'Tyre Char.'!$D$25*L127)*EXP('Tyre Char.'!$D$26*L127)*'Tyre Char.'!$D$27</f>
        <v>6159.0403759334395</v>
      </c>
      <c r="M131" s="1">
        <f>M124*('Tyre Char.'!$D$24+'Tyre Char.'!$D$25*M127)*EXP('Tyre Char.'!$D$26*M127)*'Tyre Char.'!$D$27</f>
        <v>6159.0403759334395</v>
      </c>
      <c r="N131" s="1">
        <f>N124*('Tyre Char.'!$D$24+'Tyre Char.'!$D$25*N127)*EXP('Tyre Char.'!$D$26*N127)*'Tyre Char.'!$D$27</f>
        <v>6159.0403759334395</v>
      </c>
      <c r="O131" s="1">
        <f>O124*('Tyre Char.'!$D$24+'Tyre Char.'!$D$25*O127)*EXP('Tyre Char.'!$D$26*O127)*'Tyre Char.'!$D$27</f>
        <v>6159.0403759334395</v>
      </c>
      <c r="P131" s="1">
        <f>P124*('Tyre Char.'!$D$24+'Tyre Char.'!$D$25*P127)*EXP('Tyre Char.'!$D$26*P127)*'Tyre Char.'!$D$27</f>
        <v>6159.0403759334395</v>
      </c>
      <c r="Q131" s="1">
        <f>Q124*('Tyre Char.'!$D$24+'Tyre Char.'!$D$25*Q127)*EXP('Tyre Char.'!$D$26*Q127)*'Tyre Char.'!$D$27</f>
        <v>6159.0403759334395</v>
      </c>
      <c r="R131" s="1">
        <f>R124*('Tyre Char.'!$D$24+'Tyre Char.'!$D$25*R127)*EXP('Tyre Char.'!$D$26*R127)*'Tyre Char.'!$D$27</f>
        <v>6159.0403759334395</v>
      </c>
      <c r="S131" s="1">
        <f>S124*('Tyre Char.'!$D$24+'Tyre Char.'!$D$25*S127)*EXP('Tyre Char.'!$D$26*S127)*'Tyre Char.'!$D$27</f>
        <v>6159.0403759334395</v>
      </c>
      <c r="T131" s="1">
        <f>T124*('Tyre Char.'!$D$24+'Tyre Char.'!$D$25*T127)*EXP('Tyre Char.'!$D$26*T127)*'Tyre Char.'!$D$27</f>
        <v>6159.0403759334395</v>
      </c>
      <c r="U131" s="1">
        <f>U124*('Tyre Char.'!$D$24+'Tyre Char.'!$D$25*U127)*EXP('Tyre Char.'!$D$26*U127)*'Tyre Char.'!$D$27</f>
        <v>6159.0403759334395</v>
      </c>
      <c r="V131" s="1">
        <f>V124*('Tyre Char.'!$D$24+'Tyre Char.'!$D$25*V127)*EXP('Tyre Char.'!$D$26*V127)*'Tyre Char.'!$D$27</f>
        <v>6159.0403759334395</v>
      </c>
      <c r="W131" s="1">
        <f>W124*('Tyre Char.'!$D$24+'Tyre Char.'!$D$25*W127)*EXP('Tyre Char.'!$D$26*W127)*'Tyre Char.'!$D$27</f>
        <v>6159.0403759334395</v>
      </c>
      <c r="X131" s="1">
        <f>X124*('Tyre Char.'!$D$24+'Tyre Char.'!$D$25*X127)*EXP('Tyre Char.'!$D$26*X127)*'Tyre Char.'!$D$27</f>
        <v>6159.0403759334395</v>
      </c>
      <c r="Y131" s="1">
        <f>Y124*('Tyre Char.'!$D$24+'Tyre Char.'!$D$25*Y127)*EXP('Tyre Char.'!$D$26*Y127)*'Tyre Char.'!$D$27</f>
        <v>6159.0403759334395</v>
      </c>
      <c r="Z131" s="1">
        <f>Z124*('Tyre Char.'!$D$24+'Tyre Char.'!$D$25*Z127)*EXP('Tyre Char.'!$D$26*Z127)*'Tyre Char.'!$D$27</f>
        <v>6159.0403759334395</v>
      </c>
    </row>
    <row r="132" spans="1:26" x14ac:dyDescent="0.2">
      <c r="A132" s="17" t="s">
        <v>178</v>
      </c>
      <c r="B132" s="1">
        <f t="shared" ref="B132:Z132" si="66">B131/(B128*B130)</f>
        <v>10.40650406504065</v>
      </c>
      <c r="C132" s="1">
        <f t="shared" si="66"/>
        <v>10.40650406504065</v>
      </c>
      <c r="D132" s="1">
        <f t="shared" si="66"/>
        <v>10.40650406504065</v>
      </c>
      <c r="E132" s="1">
        <f t="shared" si="66"/>
        <v>10.40650406504065</v>
      </c>
      <c r="F132" s="1">
        <f t="shared" si="66"/>
        <v>10.40650406504065</v>
      </c>
      <c r="G132" s="1">
        <f t="shared" si="66"/>
        <v>10.40650406504065</v>
      </c>
      <c r="H132" s="1">
        <f t="shared" si="66"/>
        <v>10.40650406504065</v>
      </c>
      <c r="I132" s="1">
        <f t="shared" si="66"/>
        <v>10.40650406504065</v>
      </c>
      <c r="J132" s="1">
        <f t="shared" si="66"/>
        <v>10.40650406504065</v>
      </c>
      <c r="K132" s="1">
        <f t="shared" si="66"/>
        <v>10.40650406504065</v>
      </c>
      <c r="L132" s="1">
        <f t="shared" si="66"/>
        <v>10.40650406504065</v>
      </c>
      <c r="M132" s="1">
        <f t="shared" si="66"/>
        <v>10.40650406504065</v>
      </c>
      <c r="N132" s="1">
        <f t="shared" si="66"/>
        <v>10.40650406504065</v>
      </c>
      <c r="O132" s="1">
        <f t="shared" si="66"/>
        <v>10.40650406504065</v>
      </c>
      <c r="P132" s="1">
        <f t="shared" si="66"/>
        <v>10.40650406504065</v>
      </c>
      <c r="Q132" s="1">
        <f t="shared" si="66"/>
        <v>10.40650406504065</v>
      </c>
      <c r="R132" s="1">
        <f t="shared" si="66"/>
        <v>10.40650406504065</v>
      </c>
      <c r="S132" s="1">
        <f t="shared" si="66"/>
        <v>10.40650406504065</v>
      </c>
      <c r="T132" s="1">
        <f t="shared" si="66"/>
        <v>10.40650406504065</v>
      </c>
      <c r="U132" s="1">
        <f t="shared" si="66"/>
        <v>10.40650406504065</v>
      </c>
      <c r="V132" s="1">
        <f t="shared" si="66"/>
        <v>10.40650406504065</v>
      </c>
      <c r="W132" s="1">
        <f t="shared" si="66"/>
        <v>10.40650406504065</v>
      </c>
      <c r="X132" s="1">
        <f t="shared" si="66"/>
        <v>10.40650406504065</v>
      </c>
      <c r="Y132" s="1">
        <f t="shared" si="66"/>
        <v>10.40650406504065</v>
      </c>
      <c r="Z132" s="1">
        <f t="shared" si="66"/>
        <v>10.40650406504065</v>
      </c>
    </row>
    <row r="133" spans="1:26" x14ac:dyDescent="0.2">
      <c r="A133" s="17" t="s">
        <v>209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</row>
    <row r="134" spans="1:26" x14ac:dyDescent="0.2">
      <c r="A134" s="17" t="s">
        <v>173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</row>
    <row r="135" spans="1:26" x14ac:dyDescent="0.2">
      <c r="A135" s="17" t="s">
        <v>179</v>
      </c>
      <c r="B135" s="1">
        <f t="shared" ref="B135:Z135" si="67">B125+B133</f>
        <v>2.7185536702337533E-3</v>
      </c>
      <c r="C135" s="1">
        <f t="shared" si="67"/>
        <v>3.4387223757496609E-3</v>
      </c>
      <c r="D135" s="1">
        <f t="shared" si="67"/>
        <v>4.3496700863237476E-3</v>
      </c>
      <c r="E135" s="1">
        <f t="shared" si="67"/>
        <v>5.501935833286062E-3</v>
      </c>
      <c r="F135" s="1">
        <f t="shared" si="67"/>
        <v>6.9594468805292487E-3</v>
      </c>
      <c r="G135" s="1">
        <f t="shared" si="67"/>
        <v>8.803065384712214E-3</v>
      </c>
      <c r="H135" s="1">
        <f t="shared" si="67"/>
        <v>1.1135074596851468E-2</v>
      </c>
      <c r="I135" s="1">
        <f t="shared" si="67"/>
        <v>1.4084853498052288E-2</v>
      </c>
      <c r="J135" s="1">
        <f t="shared" si="67"/>
        <v>1.7816054696004481E-2</v>
      </c>
      <c r="K135" s="1">
        <f t="shared" si="67"/>
        <v>2.2535683809200881E-2</v>
      </c>
      <c r="L135" s="1">
        <f t="shared" si="67"/>
        <v>2.8505584059650042E-2</v>
      </c>
      <c r="M135" s="1">
        <f t="shared" si="67"/>
        <v>3.6056963234903885E-2</v>
      </c>
      <c r="N135" s="1">
        <f t="shared" si="67"/>
        <v>4.5608768969709411E-2</v>
      </c>
      <c r="O135" s="1">
        <f t="shared" si="67"/>
        <v>5.7690931800898036E-2</v>
      </c>
      <c r="P135" s="1">
        <f t="shared" si="67"/>
        <v>7.2973765511327185E-2</v>
      </c>
      <c r="Q135" s="1">
        <f t="shared" si="67"/>
        <v>9.2305155882735662E-2</v>
      </c>
      <c r="R135" s="1">
        <f t="shared" si="67"/>
        <v>0.11675760107532886</v>
      </c>
      <c r="S135" s="1">
        <f t="shared" si="67"/>
        <v>0.14768771341640041</v>
      </c>
      <c r="T135" s="1">
        <f t="shared" si="67"/>
        <v>0.18681148373451528</v>
      </c>
      <c r="U135" s="1">
        <f t="shared" si="67"/>
        <v>0.23629948387579044</v>
      </c>
      <c r="V135" s="1">
        <f t="shared" si="67"/>
        <v>0.29889728920154401</v>
      </c>
      <c r="W135" s="1">
        <f t="shared" si="67"/>
        <v>0.37807780206152419</v>
      </c>
      <c r="X135" s="1">
        <f t="shared" si="67"/>
        <v>0.47823392709088069</v>
      </c>
      <c r="Y135" s="1">
        <f t="shared" si="67"/>
        <v>0.60492228788282154</v>
      </c>
      <c r="Z135" s="1">
        <f t="shared" si="67"/>
        <v>0.76517150634494413</v>
      </c>
    </row>
    <row r="136" spans="1:26" x14ac:dyDescent="0.2">
      <c r="A136" s="17" t="s">
        <v>180</v>
      </c>
      <c r="B136" s="1">
        <f>('Tyre Char.'!$D$19+'Tyre Char.'!$D$20*B127+'Tyre Char.'!$D$21*B127^2)*(1-'Tyre Char.'!$D$22*SIGN(B135))*'Tyre Char.'!$D$23</f>
        <v>-0.8</v>
      </c>
      <c r="C136" s="1">
        <f>('Tyre Char.'!$D$19+'Tyre Char.'!$D$20*C127+'Tyre Char.'!$D$21*C127^2)*(1-'Tyre Char.'!$D$22*SIGN(C135))*'Tyre Char.'!$D$23</f>
        <v>-0.8</v>
      </c>
      <c r="D136" s="1">
        <f>('Tyre Char.'!$D$19+'Tyre Char.'!$D$20*D127+'Tyre Char.'!$D$21*D127^2)*(1-'Tyre Char.'!$D$22*SIGN(D135))*'Tyre Char.'!$D$23</f>
        <v>-0.8</v>
      </c>
      <c r="E136" s="1">
        <f>('Tyre Char.'!$D$19+'Tyre Char.'!$D$20*E127+'Tyre Char.'!$D$21*E127^2)*(1-'Tyre Char.'!$D$22*SIGN(E135))*'Tyre Char.'!$D$23</f>
        <v>-0.8</v>
      </c>
      <c r="F136" s="1">
        <f>('Tyre Char.'!$D$19+'Tyre Char.'!$D$20*F127+'Tyre Char.'!$D$21*F127^2)*(1-'Tyre Char.'!$D$22*SIGN(F135))*'Tyre Char.'!$D$23</f>
        <v>-0.8</v>
      </c>
      <c r="G136" s="1">
        <f>('Tyre Char.'!$D$19+'Tyre Char.'!$D$20*G127+'Tyre Char.'!$D$21*G127^2)*(1-'Tyre Char.'!$D$22*SIGN(G135))*'Tyre Char.'!$D$23</f>
        <v>-0.8</v>
      </c>
      <c r="H136" s="1">
        <f>('Tyre Char.'!$D$19+'Tyre Char.'!$D$20*H127+'Tyre Char.'!$D$21*H127^2)*(1-'Tyre Char.'!$D$22*SIGN(H135))*'Tyre Char.'!$D$23</f>
        <v>-0.8</v>
      </c>
      <c r="I136" s="1">
        <f>('Tyre Char.'!$D$19+'Tyre Char.'!$D$20*I127+'Tyre Char.'!$D$21*I127^2)*(1-'Tyre Char.'!$D$22*SIGN(I135))*'Tyre Char.'!$D$23</f>
        <v>-0.8</v>
      </c>
      <c r="J136" s="1">
        <f>('Tyre Char.'!$D$19+'Tyre Char.'!$D$20*J127+'Tyre Char.'!$D$21*J127^2)*(1-'Tyre Char.'!$D$22*SIGN(J135))*'Tyre Char.'!$D$23</f>
        <v>-0.8</v>
      </c>
      <c r="K136" s="1">
        <f>('Tyre Char.'!$D$19+'Tyre Char.'!$D$20*K127+'Tyre Char.'!$D$21*K127^2)*(1-'Tyre Char.'!$D$22*SIGN(K135))*'Tyre Char.'!$D$23</f>
        <v>-0.8</v>
      </c>
      <c r="L136" s="1">
        <f>('Tyre Char.'!$D$19+'Tyre Char.'!$D$20*L127+'Tyre Char.'!$D$21*L127^2)*(1-'Tyre Char.'!$D$22*SIGN(L135))*'Tyre Char.'!$D$23</f>
        <v>-0.8</v>
      </c>
      <c r="M136" s="1">
        <f>('Tyre Char.'!$D$19+'Tyre Char.'!$D$20*M127+'Tyre Char.'!$D$21*M127^2)*(1-'Tyre Char.'!$D$22*SIGN(M135))*'Tyre Char.'!$D$23</f>
        <v>-0.8</v>
      </c>
      <c r="N136" s="1">
        <f>('Tyre Char.'!$D$19+'Tyre Char.'!$D$20*N127+'Tyre Char.'!$D$21*N127^2)*(1-'Tyre Char.'!$D$22*SIGN(N135))*'Tyre Char.'!$D$23</f>
        <v>-0.8</v>
      </c>
      <c r="O136" s="1">
        <f>('Tyre Char.'!$D$19+'Tyre Char.'!$D$20*O127+'Tyre Char.'!$D$21*O127^2)*(1-'Tyre Char.'!$D$22*SIGN(O135))*'Tyre Char.'!$D$23</f>
        <v>-0.8</v>
      </c>
      <c r="P136" s="1">
        <f>('Tyre Char.'!$D$19+'Tyre Char.'!$D$20*P127+'Tyre Char.'!$D$21*P127^2)*(1-'Tyre Char.'!$D$22*SIGN(P135))*'Tyre Char.'!$D$23</f>
        <v>-0.8</v>
      </c>
      <c r="Q136" s="1">
        <f>('Tyre Char.'!$D$19+'Tyre Char.'!$D$20*Q127+'Tyre Char.'!$D$21*Q127^2)*(1-'Tyre Char.'!$D$22*SIGN(Q135))*'Tyre Char.'!$D$23</f>
        <v>-0.8</v>
      </c>
      <c r="R136" s="1">
        <f>('Tyre Char.'!$D$19+'Tyre Char.'!$D$20*R127+'Tyre Char.'!$D$21*R127^2)*(1-'Tyre Char.'!$D$22*SIGN(R135))*'Tyre Char.'!$D$23</f>
        <v>-0.8</v>
      </c>
      <c r="S136" s="1">
        <f>('Tyre Char.'!$D$19+'Tyre Char.'!$D$20*S127+'Tyre Char.'!$D$21*S127^2)*(1-'Tyre Char.'!$D$22*SIGN(S135))*'Tyre Char.'!$D$23</f>
        <v>-0.8</v>
      </c>
      <c r="T136" s="1">
        <f>('Tyre Char.'!$D$19+'Tyre Char.'!$D$20*T127+'Tyre Char.'!$D$21*T127^2)*(1-'Tyre Char.'!$D$22*SIGN(T135))*'Tyre Char.'!$D$23</f>
        <v>-0.8</v>
      </c>
      <c r="U136" s="1">
        <f>('Tyre Char.'!$D$19+'Tyre Char.'!$D$20*U127+'Tyre Char.'!$D$21*U127^2)*(1-'Tyre Char.'!$D$22*SIGN(U135))*'Tyre Char.'!$D$23</f>
        <v>-0.8</v>
      </c>
      <c r="V136" s="1">
        <f>('Tyre Char.'!$D$19+'Tyre Char.'!$D$20*V127+'Tyre Char.'!$D$21*V127^2)*(1-'Tyre Char.'!$D$22*SIGN(V135))*'Tyre Char.'!$D$23</f>
        <v>-0.8</v>
      </c>
      <c r="W136" s="1">
        <f>('Tyre Char.'!$D$19+'Tyre Char.'!$D$20*W127+'Tyre Char.'!$D$21*W127^2)*(1-'Tyre Char.'!$D$22*SIGN(W135))*'Tyre Char.'!$D$23</f>
        <v>-0.8</v>
      </c>
      <c r="X136" s="1">
        <f>('Tyre Char.'!$D$19+'Tyre Char.'!$D$20*X127+'Tyre Char.'!$D$21*X127^2)*(1-'Tyre Char.'!$D$22*SIGN(X135))*'Tyre Char.'!$D$23</f>
        <v>-0.8</v>
      </c>
      <c r="Y136" s="1">
        <f>('Tyre Char.'!$D$19+'Tyre Char.'!$D$20*Y127+'Tyre Char.'!$D$21*Y127^2)*(1-'Tyre Char.'!$D$22*SIGN(Y135))*'Tyre Char.'!$D$23</f>
        <v>-0.8</v>
      </c>
      <c r="Z136" s="1">
        <f>('Tyre Char.'!$D$19+'Tyre Char.'!$D$20*Z127+'Tyre Char.'!$D$21*Z127^2)*(1-'Tyre Char.'!$D$22*SIGN(Z135))*'Tyre Char.'!$D$23</f>
        <v>-0.8</v>
      </c>
    </row>
    <row r="137" spans="1:26" x14ac:dyDescent="0.2">
      <c r="A137" s="18" t="s">
        <v>181</v>
      </c>
      <c r="B137" s="1">
        <f t="shared" ref="B137:Z137" si="68">B130*SIN(B128*ATAN(B132*B135-B136*(B132*B135-ATAN(B132*B135))))</f>
        <v>16.739296932411644</v>
      </c>
      <c r="C137" s="1">
        <f t="shared" si="68"/>
        <v>21.170353619983327</v>
      </c>
      <c r="D137" s="1">
        <f t="shared" si="68"/>
        <v>26.771822908957454</v>
      </c>
      <c r="E137" s="1">
        <f t="shared" si="68"/>
        <v>33.850254143617271</v>
      </c>
      <c r="F137" s="1">
        <f t="shared" si="68"/>
        <v>42.789798569779947</v>
      </c>
      <c r="G137" s="1">
        <f t="shared" si="68"/>
        <v>54.06903438153887</v>
      </c>
      <c r="H137" s="1">
        <f t="shared" si="68"/>
        <v>68.278343511438237</v>
      </c>
      <c r="I137" s="1">
        <f t="shared" si="68"/>
        <v>86.133828449353842</v>
      </c>
      <c r="J137" s="1">
        <f t="shared" si="68"/>
        <v>108.47819289182272</v>
      </c>
      <c r="K137" s="1">
        <f t="shared" si="68"/>
        <v>136.2472318677672</v>
      </c>
      <c r="L137" s="1">
        <f t="shared" si="68"/>
        <v>170.3572004084256</v>
      </c>
      <c r="M137" s="1">
        <f t="shared" si="68"/>
        <v>211.42900771636351</v>
      </c>
      <c r="N137" s="1">
        <f t="shared" si="68"/>
        <v>259.22828996580535</v>
      </c>
      <c r="O137" s="1">
        <f t="shared" si="68"/>
        <v>311.77542697289891</v>
      </c>
      <c r="P137" s="1">
        <f t="shared" si="68"/>
        <v>364.52729838305959</v>
      </c>
      <c r="Q137" s="1">
        <f t="shared" si="68"/>
        <v>410.85729312426616</v>
      </c>
      <c r="R137" s="1">
        <f t="shared" si="68"/>
        <v>444.84400362950566</v>
      </c>
      <c r="S137" s="1">
        <f t="shared" si="68"/>
        <v>464.58282852414646</v>
      </c>
      <c r="T137" s="1">
        <f t="shared" si="68"/>
        <v>472.5478128852601</v>
      </c>
      <c r="U137" s="1">
        <f t="shared" si="68"/>
        <v>473.0426620561264</v>
      </c>
      <c r="V137" s="1">
        <f t="shared" si="68"/>
        <v>469.80450603480523</v>
      </c>
      <c r="W137" s="1">
        <f t="shared" si="68"/>
        <v>465.21405047330899</v>
      </c>
      <c r="X137" s="1">
        <f t="shared" si="68"/>
        <v>460.51544814980025</v>
      </c>
      <c r="Y137" s="1">
        <f t="shared" si="68"/>
        <v>456.25335631128718</v>
      </c>
      <c r="Z137" s="1">
        <f t="shared" si="68"/>
        <v>452.60623227580265</v>
      </c>
    </row>
    <row r="138" spans="1:26" x14ac:dyDescent="0.2">
      <c r="A138" s="6"/>
    </row>
    <row r="139" spans="1:26" x14ac:dyDescent="0.2">
      <c r="A139" s="6"/>
    </row>
    <row r="140" spans="1:26" x14ac:dyDescent="0.2">
      <c r="A140" s="6"/>
    </row>
    <row r="141" spans="1:26" x14ac:dyDescent="0.2">
      <c r="A141" s="6"/>
    </row>
    <row r="142" spans="1:26" x14ac:dyDescent="0.2">
      <c r="A142" s="6"/>
    </row>
    <row r="143" spans="1:26" x14ac:dyDescent="0.2">
      <c r="A143" s="6"/>
    </row>
    <row r="144" spans="1:26" x14ac:dyDescent="0.2">
      <c r="A144" s="6"/>
    </row>
    <row r="145" spans="1:10" x14ac:dyDescent="0.2">
      <c r="A145" s="6"/>
    </row>
    <row r="146" spans="1:10" x14ac:dyDescent="0.2">
      <c r="A146" s="6"/>
    </row>
    <row r="147" spans="1:10" x14ac:dyDescent="0.2">
      <c r="A147" s="6"/>
    </row>
    <row r="149" spans="1:10" x14ac:dyDescent="0.2">
      <c r="A149" s="6"/>
      <c r="J149" s="6"/>
    </row>
    <row r="150" spans="1:10" x14ac:dyDescent="0.2">
      <c r="A150" s="6"/>
      <c r="J150" s="6"/>
    </row>
    <row r="151" spans="1:10" x14ac:dyDescent="0.2">
      <c r="J151" s="6"/>
    </row>
    <row r="152" spans="1:10" x14ac:dyDescent="0.2">
      <c r="J152" s="6"/>
    </row>
    <row r="153" spans="1:10" x14ac:dyDescent="0.2">
      <c r="J153" s="6"/>
    </row>
    <row r="154" spans="1:10" x14ac:dyDescent="0.2">
      <c r="J154" s="6"/>
    </row>
    <row r="155" spans="1:10" x14ac:dyDescent="0.2">
      <c r="J155" s="6"/>
    </row>
    <row r="156" spans="1:10" x14ac:dyDescent="0.2">
      <c r="J156" s="6"/>
    </row>
    <row r="157" spans="1:10" x14ac:dyDescent="0.2">
      <c r="J157" s="6"/>
    </row>
    <row r="158" spans="1:10" x14ac:dyDescent="0.2">
      <c r="E158" s="6"/>
      <c r="J158" s="6"/>
    </row>
    <row r="159" spans="1:10" x14ac:dyDescent="0.2">
      <c r="E159" s="6"/>
      <c r="J159" s="6"/>
    </row>
    <row r="160" spans="1:10" x14ac:dyDescent="0.2">
      <c r="E160" s="6"/>
      <c r="J160" s="6"/>
    </row>
    <row r="161" spans="1:10" x14ac:dyDescent="0.2">
      <c r="E161" s="6"/>
      <c r="J161" s="6"/>
    </row>
    <row r="162" spans="1:10" x14ac:dyDescent="0.2">
      <c r="E162" s="6"/>
      <c r="J162" s="6"/>
    </row>
    <row r="163" spans="1:10" x14ac:dyDescent="0.2">
      <c r="E163" s="6"/>
      <c r="J163" s="6"/>
    </row>
    <row r="164" spans="1:10" x14ac:dyDescent="0.2">
      <c r="E164" s="6"/>
      <c r="J164" s="6"/>
    </row>
    <row r="165" spans="1:10" x14ac:dyDescent="0.2">
      <c r="E165" s="6"/>
      <c r="J165" s="6"/>
    </row>
    <row r="166" spans="1:10" x14ac:dyDescent="0.2">
      <c r="E166" s="6"/>
      <c r="J166" s="6"/>
    </row>
    <row r="167" spans="1:10" x14ac:dyDescent="0.2">
      <c r="E167" s="6"/>
      <c r="J167" s="6"/>
    </row>
    <row r="168" spans="1:10" x14ac:dyDescent="0.2">
      <c r="E168" s="6"/>
      <c r="J168" s="6"/>
    </row>
    <row r="169" spans="1:10" x14ac:dyDescent="0.2">
      <c r="E169" s="6"/>
      <c r="J169" s="6"/>
    </row>
    <row r="170" spans="1:10" x14ac:dyDescent="0.2">
      <c r="E170" s="6"/>
      <c r="J170" s="6"/>
    </row>
    <row r="171" spans="1:10" x14ac:dyDescent="0.2">
      <c r="E171" s="6"/>
      <c r="J171" s="6"/>
    </row>
    <row r="172" spans="1:10" x14ac:dyDescent="0.2">
      <c r="E172" s="6"/>
      <c r="J172" s="6"/>
    </row>
    <row r="173" spans="1:10" x14ac:dyDescent="0.2">
      <c r="E173" s="6"/>
      <c r="J173" s="6"/>
    </row>
    <row r="174" spans="1:10" x14ac:dyDescent="0.2">
      <c r="E174" s="10"/>
      <c r="J174" s="6"/>
    </row>
    <row r="175" spans="1:10" x14ac:dyDescent="0.2">
      <c r="A175" s="6"/>
      <c r="E175" s="10"/>
      <c r="J175" s="6"/>
    </row>
    <row r="176" spans="1:10" x14ac:dyDescent="0.2">
      <c r="A176" s="6"/>
      <c r="E176" s="10"/>
      <c r="J176" s="6"/>
    </row>
    <row r="177" spans="1:1" x14ac:dyDescent="0.2">
      <c r="A177" s="6"/>
    </row>
    <row r="178" spans="1:1" x14ac:dyDescent="0.2">
      <c r="A178" s="6"/>
    </row>
    <row r="179" spans="1:1" x14ac:dyDescent="0.2">
      <c r="A179" s="6"/>
    </row>
    <row r="180" spans="1:1" x14ac:dyDescent="0.2">
      <c r="A180" s="6"/>
    </row>
    <row r="181" spans="1:1" x14ac:dyDescent="0.2">
      <c r="A181" s="6"/>
    </row>
    <row r="182" spans="1:1" x14ac:dyDescent="0.2">
      <c r="A182" s="6"/>
    </row>
    <row r="183" spans="1:1" x14ac:dyDescent="0.2">
      <c r="A183" s="6"/>
    </row>
    <row r="184" spans="1:1" x14ac:dyDescent="0.2">
      <c r="A184" s="6"/>
    </row>
    <row r="185" spans="1:1" x14ac:dyDescent="0.2">
      <c r="A185" s="6"/>
    </row>
    <row r="186" spans="1:1" x14ac:dyDescent="0.2">
      <c r="A186" s="6"/>
    </row>
    <row r="187" spans="1:1" x14ac:dyDescent="0.2">
      <c r="A187" s="6"/>
    </row>
    <row r="188" spans="1:1" x14ac:dyDescent="0.2">
      <c r="A188" s="6"/>
    </row>
    <row r="189" spans="1:1" x14ac:dyDescent="0.2">
      <c r="A189" s="6"/>
    </row>
    <row r="190" spans="1:1" x14ac:dyDescent="0.2">
      <c r="A190" s="6"/>
    </row>
    <row r="191" spans="1:1" x14ac:dyDescent="0.2">
      <c r="A191" s="6"/>
    </row>
    <row r="192" spans="1:1" x14ac:dyDescent="0.2">
      <c r="A192" s="6"/>
    </row>
    <row r="193" spans="1:10" x14ac:dyDescent="0.2">
      <c r="A193" s="6"/>
      <c r="J193" s="6"/>
    </row>
    <row r="194" spans="1:10" x14ac:dyDescent="0.2">
      <c r="A194" s="6"/>
      <c r="J194" s="6"/>
    </row>
    <row r="195" spans="1:10" x14ac:dyDescent="0.2">
      <c r="J195" s="6"/>
    </row>
    <row r="196" spans="1:10" x14ac:dyDescent="0.2">
      <c r="J196" s="6"/>
    </row>
    <row r="197" spans="1:10" x14ac:dyDescent="0.2">
      <c r="J197" s="6"/>
    </row>
    <row r="198" spans="1:10" x14ac:dyDescent="0.2">
      <c r="J198" s="6"/>
    </row>
    <row r="199" spans="1:10" x14ac:dyDescent="0.2">
      <c r="J199" s="6"/>
    </row>
    <row r="200" spans="1:10" x14ac:dyDescent="0.2">
      <c r="J200" s="6"/>
    </row>
    <row r="201" spans="1:10" x14ac:dyDescent="0.2">
      <c r="J201" s="6"/>
    </row>
    <row r="202" spans="1:10" x14ac:dyDescent="0.2">
      <c r="E202" s="6"/>
      <c r="J202" s="6"/>
    </row>
    <row r="203" spans="1:10" x14ac:dyDescent="0.2">
      <c r="E203" s="6"/>
      <c r="J203" s="6"/>
    </row>
    <row r="204" spans="1:10" x14ac:dyDescent="0.2">
      <c r="E204" s="6"/>
      <c r="J204" s="6"/>
    </row>
    <row r="205" spans="1:10" x14ac:dyDescent="0.2">
      <c r="E205" s="6"/>
      <c r="J205" s="6"/>
    </row>
    <row r="206" spans="1:10" x14ac:dyDescent="0.2">
      <c r="E206" s="6"/>
      <c r="J206" s="6"/>
    </row>
    <row r="207" spans="1:10" x14ac:dyDescent="0.2">
      <c r="E207" s="6"/>
      <c r="J207" s="6"/>
    </row>
    <row r="208" spans="1:10" x14ac:dyDescent="0.2">
      <c r="E208" s="6"/>
      <c r="J208" s="6"/>
    </row>
    <row r="209" spans="1:10" x14ac:dyDescent="0.2">
      <c r="E209" s="6"/>
      <c r="J209" s="6"/>
    </row>
    <row r="210" spans="1:10" x14ac:dyDescent="0.2">
      <c r="E210" s="6"/>
      <c r="J210" s="6"/>
    </row>
    <row r="211" spans="1:10" x14ac:dyDescent="0.2">
      <c r="E211" s="6"/>
      <c r="J211" s="6"/>
    </row>
    <row r="212" spans="1:10" x14ac:dyDescent="0.2">
      <c r="E212" s="6"/>
      <c r="J212" s="6"/>
    </row>
    <row r="213" spans="1:10" x14ac:dyDescent="0.2">
      <c r="E213" s="6"/>
      <c r="J213" s="6"/>
    </row>
    <row r="214" spans="1:10" x14ac:dyDescent="0.2">
      <c r="E214" s="6"/>
      <c r="J214" s="6"/>
    </row>
    <row r="215" spans="1:10" x14ac:dyDescent="0.2">
      <c r="E215" s="6"/>
      <c r="J215" s="6"/>
    </row>
    <row r="216" spans="1:10" x14ac:dyDescent="0.2">
      <c r="E216" s="6"/>
      <c r="J216" s="6"/>
    </row>
    <row r="217" spans="1:10" x14ac:dyDescent="0.2">
      <c r="E217" s="6"/>
      <c r="J217" s="6"/>
    </row>
    <row r="219" spans="1:10" x14ac:dyDescent="0.2">
      <c r="A219" s="6"/>
      <c r="E219" s="10"/>
      <c r="J219" s="6"/>
    </row>
    <row r="220" spans="1:10" x14ac:dyDescent="0.2">
      <c r="A220" s="6"/>
      <c r="E220" s="10"/>
      <c r="J220" s="6"/>
    </row>
    <row r="221" spans="1:10" x14ac:dyDescent="0.2">
      <c r="A221" s="6"/>
    </row>
    <row r="222" spans="1:10" x14ac:dyDescent="0.2">
      <c r="A222" s="6"/>
    </row>
    <row r="223" spans="1:10" x14ac:dyDescent="0.2">
      <c r="A223" s="6"/>
    </row>
    <row r="224" spans="1:10" x14ac:dyDescent="0.2">
      <c r="A224" s="6"/>
    </row>
    <row r="225" spans="1:10" x14ac:dyDescent="0.2">
      <c r="A225" s="6"/>
    </row>
    <row r="226" spans="1:10" x14ac:dyDescent="0.2">
      <c r="A226" s="6"/>
    </row>
    <row r="227" spans="1:10" x14ac:dyDescent="0.2">
      <c r="A227" s="6"/>
    </row>
    <row r="228" spans="1:10" x14ac:dyDescent="0.2">
      <c r="A228" s="6"/>
    </row>
    <row r="229" spans="1:10" x14ac:dyDescent="0.2">
      <c r="A229" s="6"/>
    </row>
    <row r="230" spans="1:10" x14ac:dyDescent="0.2">
      <c r="A230" s="6"/>
    </row>
    <row r="231" spans="1:10" x14ac:dyDescent="0.2">
      <c r="A231" s="6"/>
    </row>
    <row r="232" spans="1:10" x14ac:dyDescent="0.2">
      <c r="A232" s="6"/>
    </row>
    <row r="233" spans="1:10" x14ac:dyDescent="0.2">
      <c r="A233" s="6"/>
    </row>
    <row r="234" spans="1:10" x14ac:dyDescent="0.2">
      <c r="A234" s="6"/>
    </row>
    <row r="235" spans="1:10" x14ac:dyDescent="0.2">
      <c r="A235" s="6"/>
    </row>
    <row r="237" spans="1:10" x14ac:dyDescent="0.2">
      <c r="A237" s="6"/>
      <c r="J237" s="6"/>
    </row>
    <row r="238" spans="1:10" x14ac:dyDescent="0.2">
      <c r="A238" s="6"/>
      <c r="J238" s="6"/>
    </row>
    <row r="239" spans="1:10" x14ac:dyDescent="0.2">
      <c r="J239" s="6"/>
    </row>
    <row r="240" spans="1:10" x14ac:dyDescent="0.2">
      <c r="J240" s="6"/>
    </row>
    <row r="241" spans="5:10" x14ac:dyDescent="0.2">
      <c r="J241" s="6"/>
    </row>
    <row r="242" spans="5:10" x14ac:dyDescent="0.2">
      <c r="J242" s="6"/>
    </row>
    <row r="243" spans="5:10" x14ac:dyDescent="0.2">
      <c r="J243" s="6"/>
    </row>
    <row r="244" spans="5:10" x14ac:dyDescent="0.2">
      <c r="J244" s="6"/>
    </row>
    <row r="245" spans="5:10" x14ac:dyDescent="0.2">
      <c r="J245" s="6"/>
    </row>
    <row r="246" spans="5:10" x14ac:dyDescent="0.2">
      <c r="E246" s="6"/>
      <c r="J246" s="6"/>
    </row>
    <row r="247" spans="5:10" x14ac:dyDescent="0.2">
      <c r="E247" s="6"/>
      <c r="J247" s="6"/>
    </row>
    <row r="248" spans="5:10" x14ac:dyDescent="0.2">
      <c r="E248" s="6"/>
      <c r="J248" s="6"/>
    </row>
    <row r="249" spans="5:10" x14ac:dyDescent="0.2">
      <c r="E249" s="6"/>
      <c r="J249" s="6"/>
    </row>
    <row r="250" spans="5:10" x14ac:dyDescent="0.2">
      <c r="E250" s="6"/>
      <c r="J250" s="6"/>
    </row>
    <row r="251" spans="5:10" x14ac:dyDescent="0.2">
      <c r="E251" s="6"/>
      <c r="J251" s="6"/>
    </row>
    <row r="252" spans="5:10" x14ac:dyDescent="0.2">
      <c r="E252" s="6"/>
      <c r="J252" s="6"/>
    </row>
    <row r="253" spans="5:10" x14ac:dyDescent="0.2">
      <c r="E253" s="6"/>
      <c r="J253" s="6"/>
    </row>
    <row r="254" spans="5:10" x14ac:dyDescent="0.2">
      <c r="E254" s="6"/>
      <c r="J254" s="6"/>
    </row>
    <row r="255" spans="5:10" x14ac:dyDescent="0.2">
      <c r="E255" s="6"/>
      <c r="J255" s="6"/>
    </row>
    <row r="256" spans="5:10" x14ac:dyDescent="0.2">
      <c r="E256" s="6"/>
      <c r="J256" s="6"/>
    </row>
    <row r="257" spans="1:10" x14ac:dyDescent="0.2">
      <c r="E257" s="6"/>
      <c r="J257" s="6"/>
    </row>
    <row r="258" spans="1:10" x14ac:dyDescent="0.2">
      <c r="E258" s="6"/>
      <c r="J258" s="6"/>
    </row>
    <row r="259" spans="1:10" x14ac:dyDescent="0.2">
      <c r="E259" s="6"/>
      <c r="J259" s="6"/>
    </row>
    <row r="260" spans="1:10" x14ac:dyDescent="0.2">
      <c r="E260" s="6"/>
      <c r="J260" s="6"/>
    </row>
    <row r="261" spans="1:10" x14ac:dyDescent="0.2">
      <c r="E261" s="6"/>
      <c r="J261" s="6"/>
    </row>
    <row r="263" spans="1:10" x14ac:dyDescent="0.2">
      <c r="A263" s="6"/>
      <c r="E263" s="10"/>
      <c r="J263" s="6"/>
    </row>
    <row r="264" spans="1:10" x14ac:dyDescent="0.2">
      <c r="A264" s="6"/>
      <c r="E264" s="10"/>
      <c r="J264" s="6"/>
    </row>
    <row r="265" spans="1:10" x14ac:dyDescent="0.2">
      <c r="A265" s="6"/>
    </row>
    <row r="266" spans="1:10" x14ac:dyDescent="0.2">
      <c r="A266" s="6"/>
    </row>
    <row r="267" spans="1:10" x14ac:dyDescent="0.2">
      <c r="A267" s="6"/>
    </row>
    <row r="268" spans="1:10" x14ac:dyDescent="0.2">
      <c r="A268" s="6"/>
    </row>
    <row r="269" spans="1:10" x14ac:dyDescent="0.2">
      <c r="A269" s="6"/>
    </row>
    <row r="270" spans="1:10" x14ac:dyDescent="0.2">
      <c r="A270" s="6"/>
    </row>
    <row r="271" spans="1:10" x14ac:dyDescent="0.2">
      <c r="A271" s="6"/>
    </row>
    <row r="272" spans="1:10" x14ac:dyDescent="0.2">
      <c r="A272" s="6"/>
    </row>
    <row r="273" spans="1:1" x14ac:dyDescent="0.2">
      <c r="A273" s="6"/>
    </row>
    <row r="274" spans="1:1" x14ac:dyDescent="0.2">
      <c r="A274" s="6"/>
    </row>
    <row r="275" spans="1:1" x14ac:dyDescent="0.2">
      <c r="A275" s="6"/>
    </row>
    <row r="276" spans="1:1" x14ac:dyDescent="0.2">
      <c r="A276" s="6"/>
    </row>
    <row r="277" spans="1:1" x14ac:dyDescent="0.2">
      <c r="A277" s="6"/>
    </row>
    <row r="278" spans="1:1" x14ac:dyDescent="0.2">
      <c r="A278" s="6"/>
    </row>
    <row r="279" spans="1:1" x14ac:dyDescent="0.2">
      <c r="A279" s="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:K72"/>
  <sheetViews>
    <sheetView zoomScaleNormal="100" workbookViewId="0">
      <pane ySplit="1" topLeftCell="A12" activePane="bottomLeft" state="frozen"/>
      <selection pane="bottomLeft" activeCell="J7" sqref="J7"/>
    </sheetView>
  </sheetViews>
  <sheetFormatPr defaultRowHeight="12.75" x14ac:dyDescent="0.2"/>
  <cols>
    <col min="1" max="1" width="9.140625" style="1"/>
    <col min="2" max="2" width="69.85546875" style="1" bestFit="1" customWidth="1"/>
    <col min="3" max="5" width="9.140625" style="1"/>
    <col min="6" max="6" width="41.140625" style="1" bestFit="1" customWidth="1"/>
    <col min="7" max="7" width="9.140625" style="1"/>
    <col min="8" max="8" width="11" style="1" bestFit="1" customWidth="1"/>
    <col min="9" max="9" width="12.85546875" style="1" customWidth="1"/>
    <col min="10" max="16384" width="9.140625" style="1"/>
  </cols>
  <sheetData>
    <row r="1" spans="2:10" ht="63.95" customHeight="1" x14ac:dyDescent="0.2"/>
    <row r="2" spans="2:10" x14ac:dyDescent="0.2">
      <c r="B2" s="29" t="s">
        <v>251</v>
      </c>
      <c r="C2" s="26"/>
      <c r="D2" s="26" t="s">
        <v>3</v>
      </c>
      <c r="E2" s="26" t="s">
        <v>2</v>
      </c>
      <c r="F2" s="26"/>
      <c r="G2" s="26"/>
      <c r="H2" s="26"/>
      <c r="I2" s="26"/>
    </row>
    <row r="3" spans="2:10" x14ac:dyDescent="0.2">
      <c r="B3" s="26"/>
      <c r="C3" s="26"/>
      <c r="D3" s="26"/>
      <c r="E3" s="26"/>
      <c r="F3" s="26"/>
      <c r="G3" s="26"/>
      <c r="H3" s="26"/>
      <c r="I3" s="26"/>
    </row>
    <row r="4" spans="2:10" x14ac:dyDescent="0.2">
      <c r="B4" s="26" t="s">
        <v>34</v>
      </c>
      <c r="C4" s="26"/>
      <c r="D4" s="35">
        <f>F4/9.81</f>
        <v>280</v>
      </c>
      <c r="E4" s="29" t="s">
        <v>28</v>
      </c>
      <c r="F4" s="57">
        <f>D21+D22</f>
        <v>2746.8</v>
      </c>
      <c r="G4" s="26" t="s">
        <v>6</v>
      </c>
      <c r="H4" s="26"/>
      <c r="I4" s="26"/>
    </row>
    <row r="5" spans="2:10" x14ac:dyDescent="0.2">
      <c r="B5" s="26" t="s">
        <v>46</v>
      </c>
      <c r="C5" s="26"/>
      <c r="D5" s="35">
        <f>SUM(D30:D31)</f>
        <v>1.33</v>
      </c>
      <c r="E5" s="29"/>
      <c r="F5" s="26"/>
      <c r="G5" s="26"/>
      <c r="H5" s="26"/>
      <c r="I5" s="26"/>
    </row>
    <row r="6" spans="2:10" x14ac:dyDescent="0.2">
      <c r="B6" s="26"/>
      <c r="C6" s="26"/>
      <c r="D6" s="26"/>
      <c r="E6" s="29"/>
      <c r="F6" s="26"/>
      <c r="G6" s="26"/>
      <c r="H6" s="26"/>
      <c r="I6" s="26"/>
    </row>
    <row r="7" spans="2:10" x14ac:dyDescent="0.2">
      <c r="B7" s="26" t="s">
        <v>40</v>
      </c>
      <c r="C7" s="26"/>
      <c r="D7" s="43">
        <f>'Pedal Char.'!D18*'Veh. Parameters'!C27/('Pedal Char.'!D19-'Pedal Char.'!D18*'Veh. Parameters'!C12/'Veh. Parameters'!C11)</f>
        <v>1.5578847611827142</v>
      </c>
      <c r="E7" s="58" t="s">
        <v>79</v>
      </c>
      <c r="F7" s="26" t="s">
        <v>137</v>
      </c>
      <c r="G7" s="26"/>
      <c r="H7" s="26"/>
      <c r="I7" s="26"/>
      <c r="J7" s="4" t="s">
        <v>130</v>
      </c>
    </row>
    <row r="8" spans="2:10" x14ac:dyDescent="0.2">
      <c r="B8" s="26" t="s">
        <v>41</v>
      </c>
      <c r="C8" s="26"/>
      <c r="D8" s="43">
        <f>'Pedal Char.'!D18*'Veh. Parameters'!C28/((1-'Pedal Char.'!D19)+'Pedal Char.'!D18*'Veh. Parameters'!C12/'Veh. Parameters'!C11)</f>
        <v>1.2118242579123257</v>
      </c>
      <c r="E8" s="58" t="s">
        <v>79</v>
      </c>
      <c r="F8" s="26" t="s">
        <v>137</v>
      </c>
      <c r="G8" s="26"/>
      <c r="H8" s="26"/>
      <c r="I8" s="26"/>
      <c r="J8" s="4" t="s">
        <v>130</v>
      </c>
    </row>
    <row r="9" spans="2:10" x14ac:dyDescent="0.2">
      <c r="B9" s="26" t="s">
        <v>56</v>
      </c>
      <c r="C9" s="26"/>
      <c r="D9" s="43">
        <f>D13-'Pedal Char.'!D18</f>
        <v>-0.11817574208767434</v>
      </c>
      <c r="E9" s="58" t="s">
        <v>79</v>
      </c>
      <c r="F9" s="26"/>
      <c r="G9" s="26"/>
      <c r="H9" s="26"/>
      <c r="I9" s="26"/>
    </row>
    <row r="10" spans="2:10" x14ac:dyDescent="0.2">
      <c r="B10" s="26"/>
      <c r="C10" s="26"/>
      <c r="D10" s="26"/>
      <c r="E10" s="29"/>
      <c r="F10" s="26"/>
      <c r="G10" s="26"/>
      <c r="H10" s="26"/>
      <c r="I10" s="26"/>
    </row>
    <row r="11" spans="2:10" x14ac:dyDescent="0.2">
      <c r="B11" s="26"/>
      <c r="C11" s="26"/>
      <c r="D11" s="26"/>
      <c r="E11" s="29"/>
      <c r="F11" s="26"/>
      <c r="G11" s="26"/>
      <c r="H11" s="26"/>
      <c r="I11" s="26"/>
    </row>
    <row r="12" spans="2:10" x14ac:dyDescent="0.2">
      <c r="B12" s="26"/>
      <c r="C12" s="26"/>
      <c r="D12" s="26"/>
      <c r="E12" s="29"/>
      <c r="F12" s="26"/>
      <c r="G12" s="26" t="s">
        <v>48</v>
      </c>
      <c r="H12" s="59" t="s">
        <v>47</v>
      </c>
      <c r="I12" s="26"/>
    </row>
    <row r="13" spans="2:10" x14ac:dyDescent="0.2">
      <c r="B13" s="26" t="s">
        <v>54</v>
      </c>
      <c r="C13" s="26"/>
      <c r="D13" s="35">
        <f>IF(D7&lt;D8,D7,D8)</f>
        <v>1.2118242579123257</v>
      </c>
      <c r="E13" s="29" t="s">
        <v>79</v>
      </c>
      <c r="F13" s="26"/>
      <c r="G13" s="26" t="s">
        <v>49</v>
      </c>
      <c r="H13" s="59" t="s">
        <v>51</v>
      </c>
      <c r="I13" s="26"/>
    </row>
    <row r="14" spans="2:10" x14ac:dyDescent="0.2">
      <c r="B14" s="26"/>
      <c r="C14" s="26"/>
      <c r="D14" s="35">
        <f>'Pedal Char.'!D37-'Brake Bias Calc.'!D13</f>
        <v>0.78817574208767427</v>
      </c>
      <c r="E14" s="29"/>
      <c r="F14" s="26"/>
      <c r="G14" s="26" t="s">
        <v>50</v>
      </c>
      <c r="H14" s="59" t="s">
        <v>52</v>
      </c>
      <c r="I14" s="26"/>
    </row>
    <row r="15" spans="2:10" x14ac:dyDescent="0.2">
      <c r="B15" s="26"/>
      <c r="C15" s="26"/>
      <c r="D15" s="35"/>
      <c r="E15" s="29"/>
      <c r="F15" s="26"/>
      <c r="G15" s="26" t="s">
        <v>19</v>
      </c>
      <c r="H15" s="59" t="s">
        <v>53</v>
      </c>
      <c r="I15" s="26"/>
    </row>
    <row r="16" spans="2:10" x14ac:dyDescent="0.2">
      <c r="B16" s="26" t="s">
        <v>135</v>
      </c>
      <c r="C16" s="26"/>
      <c r="D16" s="35">
        <f>D27*'Veh. Parameters'!C17/2</f>
        <v>340.40341579201896</v>
      </c>
      <c r="E16" s="29" t="s">
        <v>9</v>
      </c>
      <c r="F16" s="26"/>
      <c r="G16" s="26"/>
      <c r="H16" s="59"/>
      <c r="I16" s="26"/>
    </row>
    <row r="17" spans="2:9" x14ac:dyDescent="0.2">
      <c r="B17" s="26" t="s">
        <v>136</v>
      </c>
      <c r="C17" s="26"/>
      <c r="D17" s="35">
        <f>D28*'Veh. Parameters'!C18/2</f>
        <v>169.7605824533124</v>
      </c>
      <c r="E17" s="29" t="s">
        <v>9</v>
      </c>
      <c r="F17" s="26"/>
      <c r="G17" s="26">
        <v>0.1</v>
      </c>
      <c r="H17" s="59">
        <f>'Veh. Parameters'!$C$27+'Brake Bias Calc.'!G17*'Veh. Parameters'!$C$12/'Veh. Parameters'!$C$11</f>
        <v>0.42394822006472493</v>
      </c>
      <c r="I17" s="26"/>
    </row>
    <row r="18" spans="2:9" x14ac:dyDescent="0.2">
      <c r="B18" s="26"/>
      <c r="C18" s="26"/>
      <c r="D18" s="35"/>
      <c r="E18" s="29"/>
      <c r="F18" s="26"/>
      <c r="G18" s="26">
        <v>0.2</v>
      </c>
      <c r="H18" s="59">
        <f>'Veh. Parameters'!$C$27+'Brake Bias Calc.'!G18*'Veh. Parameters'!$C$12/'Veh. Parameters'!$C$11</f>
        <v>0.44789644012944985</v>
      </c>
      <c r="I18" s="26"/>
    </row>
    <row r="19" spans="2:9" x14ac:dyDescent="0.2">
      <c r="B19" s="26" t="s">
        <v>31</v>
      </c>
      <c r="C19" s="26"/>
      <c r="D19" s="35">
        <f>'Brake Bias Calc.'!D13*'Veh. Parameters'!E26*'Veh. Parameters'!C12/'Veh. Parameters'!C11</f>
        <v>797.14976213878526</v>
      </c>
      <c r="E19" s="29" t="s">
        <v>6</v>
      </c>
      <c r="F19" s="26"/>
      <c r="G19" s="26">
        <v>0.3</v>
      </c>
      <c r="H19" s="59">
        <f>'Veh. Parameters'!$C$27+'Brake Bias Calc.'!G19*'Veh. Parameters'!$C$12/'Veh. Parameters'!$C$11</f>
        <v>0.47184466019417481</v>
      </c>
      <c r="I19" s="26"/>
    </row>
    <row r="20" spans="2:9" x14ac:dyDescent="0.2">
      <c r="B20" s="26" t="s">
        <v>61</v>
      </c>
      <c r="C20" s="26"/>
      <c r="D20" s="35"/>
      <c r="E20" s="29"/>
      <c r="F20" s="26"/>
      <c r="G20" s="26">
        <v>0.4</v>
      </c>
      <c r="H20" s="59">
        <f>'Veh. Parameters'!$C$27+'Brake Bias Calc.'!G20*'Veh. Parameters'!$C$12/'Veh. Parameters'!$C$11</f>
        <v>0.49579288025889967</v>
      </c>
      <c r="I20" s="26"/>
    </row>
    <row r="21" spans="2:9" x14ac:dyDescent="0.2">
      <c r="B21" s="26" t="s">
        <v>32</v>
      </c>
      <c r="C21" s="26"/>
      <c r="D21" s="35">
        <f>('Veh. Parameters'!E13+'Veh. Parameters'!E14)+D19</f>
        <v>1895.8697621387853</v>
      </c>
      <c r="E21" s="29" t="s">
        <v>6</v>
      </c>
      <c r="F21" s="26"/>
      <c r="G21" s="26">
        <v>0.5</v>
      </c>
      <c r="H21" s="59">
        <f>'Veh. Parameters'!$C$27+'Brake Bias Calc.'!G21*'Veh. Parameters'!$C$12/'Veh. Parameters'!$C$11</f>
        <v>0.51974110032362464</v>
      </c>
      <c r="I21" s="26"/>
    </row>
    <row r="22" spans="2:9" x14ac:dyDescent="0.2">
      <c r="B22" s="26" t="s">
        <v>33</v>
      </c>
      <c r="C22" s="26"/>
      <c r="D22" s="35">
        <f>('Veh. Parameters'!E15+'Veh. Parameters'!E16)-D19</f>
        <v>850.93023786121489</v>
      </c>
      <c r="E22" s="29" t="s">
        <v>6</v>
      </c>
      <c r="F22" s="26"/>
      <c r="G22" s="26">
        <v>0.6</v>
      </c>
      <c r="H22" s="59">
        <f>'Veh. Parameters'!$C$27+'Brake Bias Calc.'!G22*'Veh. Parameters'!$C$12/'Veh. Parameters'!$C$11</f>
        <v>0.5436893203883495</v>
      </c>
      <c r="I22" s="26"/>
    </row>
    <row r="23" spans="2:9" x14ac:dyDescent="0.2">
      <c r="B23" s="26"/>
      <c r="C23" s="26"/>
      <c r="D23" s="35"/>
      <c r="E23" s="29"/>
      <c r="F23" s="26"/>
      <c r="G23" s="26">
        <v>0.7</v>
      </c>
      <c r="H23" s="59">
        <f>'Veh. Parameters'!$C$27+'Brake Bias Calc.'!G23*'Veh. Parameters'!$C$12/'Veh. Parameters'!$C$11</f>
        <v>0.56763754045307446</v>
      </c>
      <c r="I23" s="26"/>
    </row>
    <row r="24" spans="2:9" x14ac:dyDescent="0.2">
      <c r="B24" s="26" t="s">
        <v>36</v>
      </c>
      <c r="C24" s="26"/>
      <c r="D24" s="35">
        <f>D21/F4</f>
        <v>0.69021034008256343</v>
      </c>
      <c r="E24" s="29"/>
      <c r="F24" s="26"/>
      <c r="G24" s="26">
        <v>0.8</v>
      </c>
      <c r="H24" s="59">
        <f>'Veh. Parameters'!$C$27+'Brake Bias Calc.'!G24*'Veh. Parameters'!$C$12/'Veh. Parameters'!$C$11</f>
        <v>0.59158576051779943</v>
      </c>
      <c r="I24" s="26"/>
    </row>
    <row r="25" spans="2:9" x14ac:dyDescent="0.2">
      <c r="B25" s="26" t="s">
        <v>37</v>
      </c>
      <c r="C25" s="26"/>
      <c r="D25" s="35">
        <f>D22/F4</f>
        <v>0.30978965991743657</v>
      </c>
      <c r="E25" s="29"/>
      <c r="F25" s="26"/>
      <c r="G25" s="26">
        <v>0.9</v>
      </c>
      <c r="H25" s="59">
        <f>'Veh. Parameters'!$C$27+'Brake Bias Calc.'!G25*'Veh. Parameters'!$C$12/'Veh. Parameters'!$C$11</f>
        <v>0.61553398058252429</v>
      </c>
      <c r="I25" s="26"/>
    </row>
    <row r="26" spans="2:9" x14ac:dyDescent="0.2">
      <c r="B26" s="26"/>
      <c r="C26" s="26"/>
      <c r="D26" s="35"/>
      <c r="E26" s="29"/>
      <c r="F26" s="26"/>
      <c r="G26" s="26">
        <v>1</v>
      </c>
      <c r="H26" s="59">
        <f>'Veh. Parameters'!$C$27+'Brake Bias Calc.'!G26*'Veh. Parameters'!$C$12/'Veh. Parameters'!$C$11</f>
        <v>0.63948220064724925</v>
      </c>
      <c r="I26" s="26"/>
    </row>
    <row r="27" spans="2:9" x14ac:dyDescent="0.2">
      <c r="B27" s="26" t="s">
        <v>42</v>
      </c>
      <c r="C27" s="26"/>
      <c r="D27" s="35">
        <f>D21*'Pedal Char.'!D18</f>
        <v>2521.5067836445846</v>
      </c>
      <c r="E27" s="29" t="s">
        <v>6</v>
      </c>
      <c r="F27" s="26"/>
      <c r="G27" s="26">
        <v>1.1000000000000001</v>
      </c>
      <c r="H27" s="59">
        <f>'Veh. Parameters'!$C$27+'Brake Bias Calc.'!G27*'Veh. Parameters'!$C$12/'Veh. Parameters'!$C$11</f>
        <v>0.66343042071197411</v>
      </c>
      <c r="I27" s="26"/>
    </row>
    <row r="28" spans="2:9" x14ac:dyDescent="0.2">
      <c r="B28" s="26" t="s">
        <v>43</v>
      </c>
      <c r="C28" s="26"/>
      <c r="D28" s="35">
        <f>D22*'Pedal Char.'!D18</f>
        <v>1131.737216355416</v>
      </c>
      <c r="E28" s="29" t="s">
        <v>6</v>
      </c>
      <c r="F28" s="26"/>
      <c r="G28" s="26">
        <v>1.2</v>
      </c>
      <c r="H28" s="59">
        <f>'Veh. Parameters'!$C$27+'Brake Bias Calc.'!G28*'Veh. Parameters'!$C$12/'Veh. Parameters'!$C$11</f>
        <v>0.68737864077669908</v>
      </c>
      <c r="I28" s="26"/>
    </row>
    <row r="29" spans="2:9" x14ac:dyDescent="0.2">
      <c r="B29" s="26"/>
      <c r="C29" s="26"/>
      <c r="D29" s="35"/>
      <c r="E29" s="29"/>
      <c r="F29" s="26"/>
      <c r="G29" s="26">
        <v>1.3</v>
      </c>
      <c r="H29" s="59">
        <f>'Veh. Parameters'!$C$27+'Brake Bias Calc.'!G29*'Veh. Parameters'!$C$12/'Veh. Parameters'!$C$11</f>
        <v>0.71132686084142405</v>
      </c>
      <c r="I29" s="26"/>
    </row>
    <row r="30" spans="2:9" x14ac:dyDescent="0.2">
      <c r="B30" s="26" t="s">
        <v>44</v>
      </c>
      <c r="C30" s="26"/>
      <c r="D30" s="35">
        <f>D27/'Veh. Parameters'!$E$26</f>
        <v>0.91797975230980944</v>
      </c>
      <c r="E30" s="29"/>
      <c r="F30" s="26"/>
      <c r="G30" s="26">
        <v>1.4</v>
      </c>
      <c r="H30" s="59">
        <f>'Veh. Parameters'!$C$27+'Brake Bias Calc.'!G30*'Veh. Parameters'!$C$12/'Veh. Parameters'!$C$11</f>
        <v>0.7352750809061489</v>
      </c>
      <c r="I30" s="26"/>
    </row>
    <row r="31" spans="2:9" x14ac:dyDescent="0.2">
      <c r="B31" s="26" t="s">
        <v>45</v>
      </c>
      <c r="C31" s="26"/>
      <c r="D31" s="35">
        <f>D28/'Veh. Parameters'!$E$26</f>
        <v>0.41202024769019074</v>
      </c>
      <c r="E31" s="29"/>
      <c r="F31" s="26"/>
      <c r="G31" s="26">
        <v>1.5</v>
      </c>
      <c r="H31" s="59">
        <f>'Veh. Parameters'!$C$27+'Brake Bias Calc.'!G31*'Veh. Parameters'!$C$12/'Veh. Parameters'!$C$11</f>
        <v>0.75922330097087376</v>
      </c>
      <c r="I31" s="26"/>
    </row>
    <row r="32" spans="2:9" x14ac:dyDescent="0.2">
      <c r="B32" s="26"/>
      <c r="C32" s="26"/>
      <c r="D32" s="35"/>
      <c r="E32" s="26"/>
      <c r="F32" s="26"/>
      <c r="G32" s="26">
        <v>1.6</v>
      </c>
      <c r="H32" s="59">
        <f>'Veh. Parameters'!$C$27+'Brake Bias Calc.'!G32*'Veh. Parameters'!$C$12/'Veh. Parameters'!$C$11</f>
        <v>0.78317152103559873</v>
      </c>
      <c r="I32" s="26"/>
    </row>
    <row r="33" spans="2:11" x14ac:dyDescent="0.2">
      <c r="B33" s="26"/>
      <c r="C33" s="26"/>
      <c r="D33" s="26"/>
      <c r="E33" s="26"/>
      <c r="F33" s="26"/>
      <c r="G33" s="26">
        <v>1.7</v>
      </c>
      <c r="H33" s="59">
        <f>'Veh. Parameters'!$C$27+'Brake Bias Calc.'!G33*'Veh. Parameters'!$C$12/'Veh. Parameters'!$C$11</f>
        <v>0.8071197411003237</v>
      </c>
      <c r="I33" s="26"/>
    </row>
    <row r="34" spans="2:11" x14ac:dyDescent="0.2">
      <c r="B34" s="26"/>
      <c r="C34" s="26"/>
      <c r="D34" s="26"/>
      <c r="E34" s="26"/>
      <c r="F34" s="26"/>
      <c r="G34" s="26">
        <v>1.8</v>
      </c>
      <c r="H34" s="59">
        <f>'Veh. Parameters'!$C$27+'Brake Bias Calc.'!G34*'Veh. Parameters'!$C$12/'Veh. Parameters'!$C$11</f>
        <v>0.83106796116504866</v>
      </c>
      <c r="I34" s="26"/>
    </row>
    <row r="35" spans="2:11" x14ac:dyDescent="0.2">
      <c r="B35" s="26"/>
      <c r="C35" s="26"/>
      <c r="D35" s="26"/>
      <c r="E35" s="26"/>
      <c r="F35" s="26"/>
      <c r="G35" s="26">
        <v>1.9</v>
      </c>
      <c r="H35" s="59">
        <f>'Veh. Parameters'!$C$27+'Brake Bias Calc.'!G35*'Veh. Parameters'!$C$12/'Veh. Parameters'!$C$11</f>
        <v>0.85501618122977341</v>
      </c>
      <c r="I35" s="26"/>
    </row>
    <row r="36" spans="2:11" x14ac:dyDescent="0.2">
      <c r="B36" s="26"/>
      <c r="C36" s="26"/>
      <c r="D36" s="26"/>
      <c r="E36" s="26"/>
      <c r="F36" s="26"/>
      <c r="G36" s="26">
        <v>2</v>
      </c>
      <c r="H36" s="59">
        <f>'Veh. Parameters'!$C$27+'Brake Bias Calc.'!G36*'Veh. Parameters'!$C$12/'Veh. Parameters'!$C$11</f>
        <v>0.87896440129449838</v>
      </c>
      <c r="I36" s="26"/>
    </row>
    <row r="37" spans="2:11" x14ac:dyDescent="0.2">
      <c r="B37" s="26"/>
      <c r="C37" s="26"/>
      <c r="D37" s="26"/>
      <c r="E37" s="26"/>
      <c r="F37" s="26"/>
      <c r="G37" s="26"/>
      <c r="H37" s="26"/>
      <c r="I37" s="26"/>
    </row>
    <row r="45" spans="2:11" x14ac:dyDescent="0.2">
      <c r="D45" s="9"/>
      <c r="K45" s="9"/>
    </row>
    <row r="46" spans="2:11" x14ac:dyDescent="0.2">
      <c r="D46" s="9"/>
      <c r="K46" s="9"/>
    </row>
    <row r="47" spans="2:11" x14ac:dyDescent="0.2">
      <c r="D47" s="9"/>
      <c r="K47" s="9"/>
    </row>
    <row r="48" spans="2:11" x14ac:dyDescent="0.2">
      <c r="K48" s="9"/>
    </row>
    <row r="49" spans="11:11" x14ac:dyDescent="0.2">
      <c r="K49" s="9"/>
    </row>
    <row r="50" spans="11:11" x14ac:dyDescent="0.2">
      <c r="K50" s="9"/>
    </row>
    <row r="51" spans="11:11" x14ac:dyDescent="0.2">
      <c r="K51" s="9"/>
    </row>
    <row r="52" spans="11:11" x14ac:dyDescent="0.2">
      <c r="K52" s="9"/>
    </row>
    <row r="53" spans="11:11" x14ac:dyDescent="0.2">
      <c r="K53" s="9"/>
    </row>
    <row r="54" spans="11:11" x14ac:dyDescent="0.2">
      <c r="K54" s="9"/>
    </row>
    <row r="55" spans="11:11" x14ac:dyDescent="0.2">
      <c r="K55" s="9"/>
    </row>
    <row r="56" spans="11:11" x14ac:dyDescent="0.2">
      <c r="K56" s="9"/>
    </row>
    <row r="57" spans="11:11" x14ac:dyDescent="0.2">
      <c r="K57" s="9"/>
    </row>
    <row r="58" spans="11:11" x14ac:dyDescent="0.2">
      <c r="K58" s="9"/>
    </row>
    <row r="59" spans="11:11" x14ac:dyDescent="0.2">
      <c r="K59" s="9"/>
    </row>
    <row r="60" spans="11:11" x14ac:dyDescent="0.2">
      <c r="K60" s="9"/>
    </row>
    <row r="61" spans="11:11" x14ac:dyDescent="0.2">
      <c r="K61" s="9"/>
    </row>
    <row r="62" spans="11:11" x14ac:dyDescent="0.2">
      <c r="K62" s="9"/>
    </row>
    <row r="63" spans="11:11" x14ac:dyDescent="0.2">
      <c r="K63" s="9"/>
    </row>
    <row r="64" spans="11:11" x14ac:dyDescent="0.2">
      <c r="K64" s="9"/>
    </row>
    <row r="65" spans="11:11" x14ac:dyDescent="0.2">
      <c r="K65" s="9"/>
    </row>
    <row r="66" spans="11:11" x14ac:dyDescent="0.2">
      <c r="K66" s="9"/>
    </row>
    <row r="67" spans="11:11" x14ac:dyDescent="0.2">
      <c r="K67" s="9"/>
    </row>
    <row r="68" spans="11:11" x14ac:dyDescent="0.2">
      <c r="K68" s="9"/>
    </row>
    <row r="69" spans="11:11" x14ac:dyDescent="0.2">
      <c r="K69" s="9"/>
    </row>
    <row r="70" spans="11:11" x14ac:dyDescent="0.2">
      <c r="K70" s="9"/>
    </row>
    <row r="71" spans="11:11" x14ac:dyDescent="0.2">
      <c r="K71" s="9"/>
    </row>
    <row r="72" spans="11:11" x14ac:dyDescent="0.2">
      <c r="K72" s="9"/>
    </row>
  </sheetData>
  <phoneticPr fontId="2" type="noConversion"/>
  <hyperlinks>
    <hyperlink ref="J7" location="olleybias" display="here" xr:uid="{00000000-0004-0000-0C00-000000000000}"/>
    <hyperlink ref="J8" location="olleybias" display="here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30" baseType="lpstr">
      <vt:lpstr>Veh. Parameters</vt:lpstr>
      <vt:lpstr>Tyre Char.</vt:lpstr>
      <vt:lpstr>Front Braking</vt:lpstr>
      <vt:lpstr>Rear Braking</vt:lpstr>
      <vt:lpstr>Pedal Char.</vt:lpstr>
      <vt:lpstr>Rolling or Skidding</vt:lpstr>
      <vt:lpstr>TYRE-PACEJKA</vt:lpstr>
      <vt:lpstr>Brake Bias Calc.</vt:lpstr>
      <vt:lpstr>Dec. Graph</vt:lpstr>
      <vt:lpstr>Force vs Slip</vt:lpstr>
      <vt:lpstr>Force Graphs</vt:lpstr>
      <vt:lpstr>Force Graphs 2</vt:lpstr>
      <vt:lpstr>Brake Bias Graph</vt:lpstr>
      <vt:lpstr>biasbar</vt:lpstr>
      <vt:lpstr>braketorque</vt:lpstr>
      <vt:lpstr>brakometer</vt:lpstr>
      <vt:lpstr>frontbrakes</vt:lpstr>
      <vt:lpstr>muestimate</vt:lpstr>
      <vt:lpstr>olleybias</vt:lpstr>
      <vt:lpstr>olleymodel</vt:lpstr>
      <vt:lpstr>'Pedal Char.'!Print_Area</vt:lpstr>
      <vt:lpstr>roadcondition</vt:lpstr>
      <vt:lpstr>status</vt:lpstr>
      <vt:lpstr>typecompound</vt:lpstr>
      <vt:lpstr>tyrediscrete</vt:lpstr>
      <vt:lpstr>tyregrip</vt:lpstr>
      <vt:lpstr>tyrepacejka</vt:lpstr>
      <vt:lpstr>tyres</vt:lpstr>
      <vt:lpstr>vehicle</vt:lpstr>
      <vt:lpstr>wttransfer</vt:lpstr>
    </vt:vector>
  </TitlesOfParts>
  <Company>Bugatti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Bugatti</dc:creator>
  <cp:lastModifiedBy>Tahmid Muntasir Auhin</cp:lastModifiedBy>
  <cp:lastPrinted>2008-03-08T12:12:53Z</cp:lastPrinted>
  <dcterms:created xsi:type="dcterms:W3CDTF">2007-10-17T20:50:54Z</dcterms:created>
  <dcterms:modified xsi:type="dcterms:W3CDTF">2024-07-01T17:52:56Z</dcterms:modified>
</cp:coreProperties>
</file>